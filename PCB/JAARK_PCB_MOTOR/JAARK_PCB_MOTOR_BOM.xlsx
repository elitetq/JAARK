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ARK_PCB_MOTOR" sheetId="1" r:id="rId1"/>
  </sheets>
  <definedNames>
    <definedName name="BoardQty" localSheetId="0">'JAARK_PCB_MOTOR'!$G$1</definedName>
    <definedName name="PURCHASE_DESCRIPTION" localSheetId="0">'JAARK_PCB_MOTOR'!$G$28</definedName>
    <definedName name="TotalCost" localSheetId="0">'JAARK_PCB_MOTOR'!$G$3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F3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M3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6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6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6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6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E6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F6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G6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H6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I6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J6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K6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L6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M6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J7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$0.08      $0.08
    10   $0.01      $0.06</t>
        </r>
      </text>
    </comment>
    <comment ref="M7" authorId="0">
      <text>
        <r>
          <rPr>
            <sz val="8"/>
            <color indexed="81"/>
            <rFont val="Tahoma"/>
            <family val="2"/>
          </rPr>
          <t>Desc: CAP CER 0.1UF 50V X7R 0805
Footprint: 0805 (2012 Metric)
Size: 0.079" L x 0.049" W (2.00mm x 1.25mm)
Temp_coeff: X7R
Tolerance: ±10%
Value: 0.1 µF 
Voltage: 50V</t>
        </r>
      </text>
    </comment>
    <comment ref="J8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$0.15      $0.15
    10   $0.08      $0.84
    50   $0.06      $2.93
   100   $0.05      $5.11
   500   $0.04     $19.17
  1000   $0.03     $34.42</t>
        </r>
      </text>
    </comment>
    <comment ref="M8" authorId="0">
      <text>
        <r>
          <rPr>
            <sz val="8"/>
            <color indexed="81"/>
            <rFont val="Tahoma"/>
            <family val="2"/>
          </rPr>
          <t>Desc: CAP CER 10UF 25V X5R 0805
Footprint: 0805 (2012 Metric)
Size: 0.079" L x 0.049" W (2.00mm x 1.25mm)
Temp_coeff: X5R
Tolerance: ±10%
Value: 10 µF 
Voltage: 25V</t>
        </r>
      </text>
    </comment>
    <comment ref="J9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$0.08      $0.08
    10   $0.02      $0.16</t>
        </r>
      </text>
    </comment>
    <comment ref="M9" authorId="0">
      <text>
        <r>
          <rPr>
            <sz val="8"/>
            <color indexed="81"/>
            <rFont val="Tahoma"/>
            <family val="2"/>
          </rPr>
          <t>Desc: CAP CER 0.1UF 50V X7R 0805
Footprint: 0805 (2012 Metric)
Size: 0.079" L x 0.049" W (2.00mm x 1.25mm)
Temp_coeff: X7R
Tolerance: ±10%
Value: 0.1 µF 
Voltage: 50V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$0.04      $0.37
    50   $0.03      $1.26
   100   $0.02      $2.16
   500   $0.02      $7.76
  1000   $0.01     $13.65</t>
        </r>
      </text>
    </comment>
    <comment ref="M10" authorId="0">
      <text>
        <r>
          <rPr>
            <sz val="8"/>
            <color indexed="81"/>
            <rFont val="Tahoma"/>
            <family val="2"/>
          </rPr>
          <t>Desc: CAP CER 220PF 50V C0G/NP0 0805
Footprint: 0805 (2012 Metric)
Size: 0.079" L x 0.049" W (2.00mm x 1.25mm)
Temp_coeff: C0G, NP0
Tolerance: ±5%
Value: 220 pF 
Voltage: 50V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$0.41      $0.41
    10   $0.25      $2.49
    50   $0.18      $9.16
   100   $0.16     $16.21</t>
        </r>
      </text>
    </comment>
    <comment ref="M11" authorId="0">
      <text>
        <r>
          <rPr>
            <sz val="8"/>
            <color indexed="81"/>
            <rFont val="Tahoma"/>
            <family val="2"/>
          </rPr>
          <t>Desc: CAP ALUM 100UF 20% 35V SMD
Footprint: Radial, Can - SMD
Size: 0.248" Dia (6.30mm)
Tolerance: ±20%
Value: 100 µF 
Voltage: 35 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$1.13      $1.13
    10   $0.71      $7.06
    50   $0.57     $28.60
   100   $0.52     $52.34
   500   $0.44    $220.66
  1000   $0.42    $415.94</t>
        </r>
      </text>
    </comment>
    <comment ref="M12" authorId="0">
      <text>
        <r>
          <rPr>
            <sz val="8"/>
            <color indexed="81"/>
            <rFont val="Tahoma"/>
            <family val="2"/>
          </rPr>
          <t>Desc: CAP CER 33UF 25V X5R 1206
Footprint: 1206 (3216 Metric)
Size: 0.126" L x 0.063" W (3.20mm x 1.60mm)
Temp_coeff: X5R
Tolerance: ±20%
Value: 33 µF 
Voltage: 25V</t>
        </r>
      </text>
    </comment>
    <comment ref="H13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J13" authorId="0">
      <text>
        <r>
          <rPr>
            <sz val="8"/>
            <color indexed="81"/>
            <rFont val="Tahoma"/>
            <family val="2"/>
          </rPr>
          <t>Qty/Price Breaks (USD):
  Qty  -  Unit$  -  Ext$
================
  2500   $0.07    $183.10</t>
        </r>
      </text>
    </comment>
    <comment ref="M13" authorId="0">
      <text>
        <r>
          <rPr>
            <sz val="8"/>
            <color indexed="81"/>
            <rFont val="Tahoma"/>
            <family val="2"/>
          </rPr>
          <t>Desc: TVS DIODE 12VWM 19.9VC SOD123FL
Footprint: SOD-123F</t>
        </r>
      </text>
    </comment>
    <comment ref="J14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$0.56      $0.56
    10   $0.39      $3.93
    25   $0.35      $8.80
   100   $0.31     $30.66
   250   $0.28     $71.24
   500   $0.27    $135.94
  1000   $0.26    $261.11</t>
        </r>
      </text>
    </comment>
    <comment ref="M14" authorId="0">
      <text>
        <r>
          <rPr>
            <sz val="8"/>
            <color indexed="81"/>
            <rFont val="Tahoma"/>
            <family val="2"/>
          </rPr>
          <t>Desc: IC REG BUCK ADJ 4A SOT563
Footprint: SOT-563, SOT-666</t>
        </r>
      </text>
    </comment>
    <comment ref="J15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$1.51      $1.51
    10   $1.10     $11.04
    25   $1.00     $25.05
   100   $0.89     $88.96
   250   $0.84    $209.03
   500   $0.80    $401.94
  1000   $0.78    $777.33</t>
        </r>
      </text>
    </comment>
    <comment ref="M15" authorId="0">
      <text>
        <r>
          <rPr>
            <sz val="8"/>
            <color indexed="81"/>
            <rFont val="Tahoma"/>
            <family val="2"/>
          </rPr>
          <t>Desc: 33V H BRIDGE MOTOR DRIVER WITH C
Footprint: 8-PowerSOIC (0.154", 3.90mm Width)</t>
        </r>
      </text>
    </comment>
    <comment ref="J16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$0.86      $0.86
    10   $0.62      $6.24
    25   $0.54     $13.59
    50   $0.52     $25.82
   100   $0.46     $46.31</t>
        </r>
      </text>
    </comment>
    <comment ref="M16" authorId="0">
      <text>
        <r>
          <rPr>
            <sz val="8"/>
            <color indexed="81"/>
            <rFont val="Tahoma"/>
            <family val="2"/>
          </rPr>
          <t>Desc: TERM BLK 2POS SIDE ENT 3.5MM PCB</t>
        </r>
      </text>
    </comment>
    <comment ref="J17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$1.94      $1.94
    10   $1.90     $18.98
    50   $1.81     $90.75
   100   $1.67    $167.20
   500   $1.54    $770.50</t>
        </r>
      </text>
    </comment>
    <comment ref="M17" authorId="0">
      <text>
        <r>
          <rPr>
            <sz val="8"/>
            <color indexed="81"/>
            <rFont val="Tahoma"/>
            <family val="2"/>
          </rPr>
          <t xml:space="preserve">Desc: FIXED IND 1.8UH 4.6A 30 MOHM SMD
Footprint: 1616 (4040 Metric)
Size: 0.161" L x 0.161" W (4.10mm x 4.10mm)
Tolerance: ±20%
Value: 1.8 µH </t>
        </r>
      </text>
    </comment>
    <comment ref="J18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$0.37      $0.37
    10   $0.23      $2.28
   100   $0.14     $14.30
   500   $0.11     $53.11
  1000   $0.09     $94.31</t>
        </r>
      </text>
    </comment>
    <comment ref="M18" authorId="0">
      <text>
        <r>
          <rPr>
            <sz val="8"/>
            <color indexed="81"/>
            <rFont val="Tahoma"/>
            <family val="2"/>
          </rPr>
          <t>Desc: MOSFET P-CH 30V 4A SOT23F
Footprint: SOT-23-3 Flat Leads</t>
        </r>
      </text>
    </comment>
    <comment ref="J19" authorId="0">
      <text>
        <r>
          <rPr>
            <sz val="8"/>
            <color indexed="81"/>
            <rFont val="Tahoma"/>
            <family val="2"/>
          </rPr>
          <t>Qty/Price Breaks (USD):
  Qty  -  Unit$  -  Ext$
================
  6000   $0.57  $3,440.40
 12000   $0.55  $6,552.72
 18000   $0.53  $9,587.70</t>
        </r>
      </text>
    </comment>
    <comment ref="M19" authorId="0">
      <text>
        <r>
          <rPr>
            <sz val="8"/>
            <color indexed="81"/>
            <rFont val="Tahoma"/>
            <family val="2"/>
          </rPr>
          <t>Desc: TERM EDGE AMP LF 18-22AWG CRIMP</t>
        </r>
      </text>
    </comment>
    <comment ref="J20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$0.04      $0.35
    25   $0.03      $0.65
    50   $0.02      $1.07
   100   $0.02      $1.76
   250   $0.01      $3.48
   500   $0.01      $5.90
  1000   $0.01     $10.14</t>
        </r>
      </text>
    </comment>
    <comment ref="M20" authorId="0">
      <text>
        <r>
          <rPr>
            <sz val="8"/>
            <color indexed="81"/>
            <rFont val="Tahoma"/>
            <family val="2"/>
          </rPr>
          <t xml:space="preserve">Desc: RES SMD 220K OHM 1% 1/8W 0805
Footprint: 0805 (2012 Metric)
Power: 0.125W, 1/8W
Size: 0.079" L x 0.049" W (2.00mm x 1.25mm)
Temp_coeff: ±100ppm/°C
Tolerance: ±1%
Value: 220 kOhms </t>
        </r>
      </text>
    </comment>
    <comment ref="J21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$0.01      $0.11
    25   $0.01      $0.24
    50   $0.01      $0.41
   100   $0.01      $0.77</t>
        </r>
      </text>
    </comment>
    <comment ref="M21" authorId="0">
      <text>
        <r>
          <rPr>
            <sz val="8"/>
            <color indexed="81"/>
            <rFont val="Tahoma"/>
            <family val="2"/>
          </rPr>
          <t xml:space="preserve">Desc: RES 30.1K OHM 1% 1/8W 0805
Footprint: 0805 (2012 Metric)
Power: 0.125W, 1/8W
Size: 0.079" L x 0.049" W (2.00mm x 1.25mm)
Temp_coeff: ±100ppm/°C
Tolerance: ±1%
Value: 30.1 kOhms </t>
        </r>
      </text>
    </comment>
    <comment ref="J22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$0.08      $0.80
    25   $0.07      $1.86
    50   $0.07      $3.52
   100   $0.07      $6.64
   250   $0.06     $15.41
   500   $0.06     $29.16
  1000   $0.06     $55.30</t>
        </r>
      </text>
    </comment>
    <comment ref="M22" authorId="0">
      <text>
        <r>
          <rPr>
            <sz val="8"/>
            <color indexed="81"/>
            <rFont val="Tahoma"/>
            <family val="2"/>
          </rPr>
          <t xml:space="preserve">Desc: RES SMD 20K OHM 0.1% 1/8W 0805
Footprint: 0805 (2012 Metric)
Power: 0.125W, 1/8W
Size: 0.079" L x 0.049" W (2.00mm x 1.25mm)
Temp_coeff: ±25ppm/°C
Tolerance: ±0.1%
Value: 20 kOhms </t>
        </r>
      </text>
    </comment>
    <comment ref="J23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$0.01      $0.10
    25   $0.01      $0.23
    50   $0.01      $0.41</t>
        </r>
      </text>
    </comment>
    <comment ref="M23" authorId="0">
      <text>
        <r>
          <rPr>
            <sz val="8"/>
            <color indexed="81"/>
            <rFont val="Tahoma"/>
            <family val="2"/>
          </rPr>
          <t xml:space="preserve">Desc: RES 40.2K OHM 1% 1/8W 0805
Footprint: 0805 (2012 Metric)
Power: 0.125W, 1/8W
Size: 0.079" L x 0.049" W (2.00mm x 1.25mm)
Temp_coeff: ±100ppm/°C
Tolerance: ±1%
Value: 40.2 kOhms </t>
        </r>
      </text>
    </comment>
    <comment ref="J24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$0.17      $0.17
    10   $0.11      $1.09
    25   $0.09      $2.28
    50   $0.08      $4.02
   100   $0.07      $7.12
   250   $0.06     $15.25
   500   $0.05     $27.31
  1000   $0.05     $49.18</t>
        </r>
      </text>
    </comment>
    <comment ref="M24" authorId="0">
      <text>
        <r>
          <rPr>
            <sz val="8"/>
            <color indexed="81"/>
            <rFont val="Tahoma"/>
            <family val="2"/>
          </rPr>
          <t xml:space="preserve">Desc: RES 0.2 OHM 1% 1/3W 0805
Footprint: 0805 (2012 Metric)
Power: 0.333W, 1/3W
Size: 0.079" L x 0.049" W (2.00mm x 1.25mm)
Temp_coeff: 0/ +200ppm/°C
Tolerance: ±1%
Value: 200 mOhms </t>
        </r>
      </text>
    </comment>
    <comment ref="J25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$0.63      $0.63
    10   $0.47      $4.71
    25   $0.42     $10.53
   100   $0.38     $38.00</t>
        </r>
      </text>
    </comment>
    <comment ref="M25" authorId="0">
      <text>
        <r>
          <rPr>
            <sz val="8"/>
            <color indexed="81"/>
            <rFont val="Tahoma"/>
            <family val="2"/>
          </rPr>
          <t>Desc: FUSE CLIP BLADE 20A SMD</t>
        </r>
      </text>
    </comment>
    <comment ref="F27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I27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F28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<sst xmlns="http://schemas.openxmlformats.org/spreadsheetml/2006/main" count="144" uniqueCount="88">
  <si>
    <t>Global Part Info</t>
  </si>
  <si>
    <t>Refs</t>
  </si>
  <si>
    <t>Value</t>
  </si>
  <si>
    <t>Footprint</t>
  </si>
  <si>
    <t>Manf#</t>
  </si>
  <si>
    <t>Qty</t>
  </si>
  <si>
    <t>Unit$</t>
  </si>
  <si>
    <t>Ext$</t>
  </si>
  <si>
    <t>C1,C4,C5</t>
  </si>
  <si>
    <t>???</t>
  </si>
  <si>
    <t>CL21B104KBCNNNC</t>
  </si>
  <si>
    <t>C2</t>
  </si>
  <si>
    <t>CL21A106KAYNNNG</t>
  </si>
  <si>
    <t>C3,C13,C15</t>
  </si>
  <si>
    <t>C0805C104K5RACTU</t>
  </si>
  <si>
    <t>C6</t>
  </si>
  <si>
    <t>CL21C221JBANNNC</t>
  </si>
  <si>
    <t>C7</t>
  </si>
  <si>
    <t>UWT1V101MCL1GS</t>
  </si>
  <si>
    <t>C12,C14</t>
  </si>
  <si>
    <t>C3216X5R1E336M160AC</t>
  </si>
  <si>
    <t>D4</t>
  </si>
  <si>
    <t>SMF12CA</t>
  </si>
  <si>
    <t>IC1</t>
  </si>
  <si>
    <t>TPS564242DRLR</t>
  </si>
  <si>
    <t>IC9,IC10</t>
  </si>
  <si>
    <t>DRV8231DDAR</t>
  </si>
  <si>
    <t>J1,J5,J6</t>
  </si>
  <si>
    <t>1984617</t>
  </si>
  <si>
    <t>L1</t>
  </si>
  <si>
    <t>74438356018</t>
  </si>
  <si>
    <t>Q1#1</t>
  </si>
  <si>
    <t>??? - p1/2</t>
  </si>
  <si>
    <t>SSM3J334R</t>
  </si>
  <si>
    <t>Q1#2</t>
  </si>
  <si>
    <t>??? - p2/2</t>
  </si>
  <si>
    <t>LF</t>
  </si>
  <si>
    <t>R1</t>
  </si>
  <si>
    <t>CRG0805F220K</t>
  </si>
  <si>
    <t>R2</t>
  </si>
  <si>
    <t>RC0805FR-0730K1L</t>
  </si>
  <si>
    <t>R3,R5</t>
  </si>
  <si>
    <t>RG2012P-203-B-T5</t>
  </si>
  <si>
    <t>R4</t>
  </si>
  <si>
    <t>RC0805FR-0740K2L</t>
  </si>
  <si>
    <t>R10,R11</t>
  </si>
  <si>
    <t>RL1220S-R20-F</t>
  </si>
  <si>
    <t>U1</t>
  </si>
  <si>
    <t>3586TR</t>
  </si>
  <si>
    <t>Digi-Key</t>
  </si>
  <si>
    <t>Avail</t>
  </si>
  <si>
    <t>Purch</t>
  </si>
  <si>
    <t>MOQ</t>
  </si>
  <si>
    <t>Cat#</t>
  </si>
  <si>
    <t>1276-1003-1-ND</t>
  </si>
  <si>
    <t>1276-6454-1-ND</t>
  </si>
  <si>
    <t>399-C0805C104K5RACTUCT-ND</t>
  </si>
  <si>
    <t>1276-1164-1-ND</t>
  </si>
  <si>
    <t>493-2203-1-ND</t>
  </si>
  <si>
    <t>445-8046-1-ND</t>
  </si>
  <si>
    <t>353-SMF12CA-TP-ND</t>
  </si>
  <si>
    <t>NonStk</t>
  </si>
  <si>
    <t>296-TPS564242DRLRCT-ND</t>
  </si>
  <si>
    <t>296-DRV8231DDARCT-ND</t>
  </si>
  <si>
    <t>277-1721-ND</t>
  </si>
  <si>
    <t>732-8231-1-ND</t>
  </si>
  <si>
    <t>SSM3J334RLFCT-ND</t>
  </si>
  <si>
    <t>A104029TR-ND</t>
  </si>
  <si>
    <t>A126350CT-ND</t>
  </si>
  <si>
    <t>311-30.1KCRCT-ND</t>
  </si>
  <si>
    <t>RG20P20.0KBCT-ND</t>
  </si>
  <si>
    <t>311-40.2KCRCT-ND</t>
  </si>
  <si>
    <t>RL12S.20FCT-ND</t>
  </si>
  <si>
    <t>36-3586TRCT-ND</t>
  </si>
  <si>
    <t>Buy here</t>
  </si>
  <si>
    <t>Total Purchase:</t>
  </si>
  <si>
    <t>Purchase description:</t>
  </si>
  <si>
    <t>Prj:</t>
  </si>
  <si>
    <t>JAARK_PCB_MOTOR.csv</t>
  </si>
  <si>
    <t>Co.:</t>
  </si>
  <si>
    <t>Prj date:</t>
  </si>
  <si>
    <t>2026-02-08 11:43:04 (file)</t>
  </si>
  <si>
    <t>Board Qty:</t>
  </si>
  <si>
    <t>Total Cost:</t>
  </si>
  <si>
    <t>Unit Cost:</t>
  </si>
  <si>
    <t>$ date:</t>
  </si>
  <si>
    <t>2026-02-08 11:43:17</t>
  </si>
  <si>
    <t>KiCost® v1.1.20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</si>
</sst>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09090"/>
      <name val="Calibri"/>
      <family val="2"/>
      <scheme val="minor"/>
    </font>
    <font>
      <u/>
      <sz val="11"/>
      <color theme="10"/>
      <name val="Calibri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  <fill>
      <patternFill patternType="solid">
        <fgColor rgb="FFCC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1" applyAlignment="1" applyProtection="1"/>
    <xf numFmtId="0" fontId="0" fillId="0" borderId="0" xfId="0" applyAlignment="1">
      <alignment horizontal="right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4">
    <dxf>
      <font>
        <color rgb="FF000000"/>
      </font>
      <fill>
        <patternFill>
          <bgColor rgb="FFFF99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AAAAA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samsung-electro-mechanics/CL21B104KBCNNNC/3886661" TargetMode="External"/><Relationship Id="rId2" Type="http://schemas.openxmlformats.org/officeDocument/2006/relationships/hyperlink" Target="https://weblib.samsungsem.com/mlcc/mlcc-ec-data-sheet.do?partNumber=CL05Y105KP6VPN" TargetMode="External"/><Relationship Id="rId3" Type="http://schemas.openxmlformats.org/officeDocument/2006/relationships/hyperlink" Target="https://www.digikey.com/en/products/detail/samsung-electro-mechanics/CL21A106KAYNNNG/3894413" TargetMode="External"/><Relationship Id="rId4" Type="http://schemas.openxmlformats.org/officeDocument/2006/relationships/hyperlink" Target="https://yageogroup.com/content/datasheet/asset/file/KEM_C1002_X7R_SMD" TargetMode="External"/><Relationship Id="rId5" Type="http://schemas.openxmlformats.org/officeDocument/2006/relationships/hyperlink" Target="https://www.digikey.com/en/products/detail/kemet/C0805C104K5RACTU/411169" TargetMode="External"/><Relationship Id="rId6" Type="http://schemas.openxmlformats.org/officeDocument/2006/relationships/hyperlink" Target="https://www.digikey.com/en/products/detail/samsung-electro-mechanics/CL21C221JBANNNC/3886822" TargetMode="External"/><Relationship Id="rId7" Type="http://schemas.openxmlformats.org/officeDocument/2006/relationships/hyperlink" Target="https://www.nichicon.co.jp/english/series_items/catalog_pdf/e-uwt.pdf" TargetMode="External"/><Relationship Id="rId8" Type="http://schemas.openxmlformats.org/officeDocument/2006/relationships/hyperlink" Target="https://www.digikey.com/en/products/detail/nichicon/UWT1V101MCL1GS/589944" TargetMode="External"/><Relationship Id="rId9" Type="http://schemas.openxmlformats.org/officeDocument/2006/relationships/hyperlink" Target="https://product.tdk.com/system/files/dam/doc/product/capacitor/ceramic/mlcc/catalog/mlcc_commercial_general_en.pdf" TargetMode="External"/><Relationship Id="rId10" Type="http://schemas.openxmlformats.org/officeDocument/2006/relationships/hyperlink" Target="https://www.digikey.com/en/products/detail/tdk-corporation/C3216X5R1E336M160AC/2792259" TargetMode="External"/><Relationship Id="rId11" Type="http://schemas.openxmlformats.org/officeDocument/2006/relationships/hyperlink" Target="https://www.mccsemi.com/pdf/Products/SMF5.0A_SMF200CA(SOD-123FL).pdf" TargetMode="External"/><Relationship Id="rId12" Type="http://schemas.openxmlformats.org/officeDocument/2006/relationships/hyperlink" Target="https://www.digikey.com/en/products/detail/mcc-micro-commercial-components/SMF12CA-TP/17949888" TargetMode="External"/><Relationship Id="rId13" Type="http://schemas.openxmlformats.org/officeDocument/2006/relationships/hyperlink" Target="https://www.ti.com/lit/ds/symlink/tps564242.pdf" TargetMode="External"/><Relationship Id="rId14" Type="http://schemas.openxmlformats.org/officeDocument/2006/relationships/hyperlink" Target="https://www.digikey.com/en/products/detail/texas-instruments/TPS564242DRLR/16585669" TargetMode="External"/><Relationship Id="rId15" Type="http://schemas.openxmlformats.org/officeDocument/2006/relationships/hyperlink" Target="https://www.ti.com/lit/ds/symlink/drv8231.pdf" TargetMode="External"/><Relationship Id="rId16" Type="http://schemas.openxmlformats.org/officeDocument/2006/relationships/hyperlink" Target="https://www.digikey.com/en/products/detail/texas-instruments/DRV8231DDAR/16184249" TargetMode="External"/><Relationship Id="rId17" Type="http://schemas.openxmlformats.org/officeDocument/2006/relationships/hyperlink" Target="https://www.digikey.com/en/products/detail/phoenix-contact/1984617/950849" TargetMode="External"/><Relationship Id="rId18" Type="http://schemas.openxmlformats.org/officeDocument/2006/relationships/hyperlink" Target="https://www.we-online.com/components/products/datasheet/74438356018.pdf" TargetMode="External"/><Relationship Id="rId19" Type="http://schemas.openxmlformats.org/officeDocument/2006/relationships/hyperlink" Target="https://www.digikey.com/en/products/detail/w&#252;rth-elektronik/74438356018/5725346" TargetMode="External"/><Relationship Id="rId20" Type="http://schemas.openxmlformats.org/officeDocument/2006/relationships/hyperlink" Target="https://toshiba.semicon-storage.com/info/docget.jsp?did=5579&amp;prodName=SSM3J334R" TargetMode="External"/><Relationship Id="rId21" Type="http://schemas.openxmlformats.org/officeDocument/2006/relationships/hyperlink" Target="https://www.digikey.com/en/products/detail/toshiba-semiconductor-and-storage/SSM3J334R-LF/3863578" TargetMode="External"/><Relationship Id="rId22" Type="http://schemas.openxmlformats.org/officeDocument/2006/relationships/hyperlink" Target="https://www.te.com/commerce/DocumentDelivery/DDEController?Action=srchrtrv&amp;DocNm=583361&amp;DocType=Customer+Drawing&amp;DocLang=English" TargetMode="External"/><Relationship Id="rId23" Type="http://schemas.openxmlformats.org/officeDocument/2006/relationships/hyperlink" Target="https://www.digikey.com/en/products/detail/te-connectivity-amp-connectors/583361-3/294165" TargetMode="External"/><Relationship Id="rId24" Type="http://schemas.openxmlformats.org/officeDocument/2006/relationships/hyperlink" Target="https://www.te.com/commerce/DocumentDelivery/DDEController?Action=srchrtrv&amp;DocNm=1773204&amp;DocType=Data%20Sheet&amp;DocLang=English&amp;DocFormat=pdf&amp;PartCntxt=4-1622826-1" TargetMode="External"/><Relationship Id="rId25" Type="http://schemas.openxmlformats.org/officeDocument/2006/relationships/hyperlink" Target="https://www.digikey.com/en/products/detail/te-connectivity-passive-product/CRG0805F220K/2380869" TargetMode="External"/><Relationship Id="rId26" Type="http://schemas.openxmlformats.org/officeDocument/2006/relationships/hyperlink" Target="https://yageogroup.com/content/datasheet/asset/file/PYU-RC_GROUP_51_ROHS_L" TargetMode="External"/><Relationship Id="rId27" Type="http://schemas.openxmlformats.org/officeDocument/2006/relationships/hyperlink" Target="https://www.digikey.com/en/products/detail/yageo/RC0805FR-0730K1L/727845" TargetMode="External"/><Relationship Id="rId28" Type="http://schemas.openxmlformats.org/officeDocument/2006/relationships/hyperlink" Target="https://www.susumu.co.jp/dl/?filename=n_catalog_partition01_en.pdf&amp;type=application/pdf" TargetMode="External"/><Relationship Id="rId29" Type="http://schemas.openxmlformats.org/officeDocument/2006/relationships/hyperlink" Target="https://www.digikey.com/en/products/detail/susumu/RG2012P-203-B-T5/1240704" TargetMode="External"/><Relationship Id="rId30" Type="http://schemas.openxmlformats.org/officeDocument/2006/relationships/hyperlink" Target="https://yageogroup.com/content/datasheet/asset/file/PYU-RC_GROUP_51_ROHS_L" TargetMode="External"/><Relationship Id="rId31" Type="http://schemas.openxmlformats.org/officeDocument/2006/relationships/hyperlink" Target="https://www.digikey.com/en/products/detail/yageo/RC0805FR-0740K2L/727941" TargetMode="External"/><Relationship Id="rId32" Type="http://schemas.openxmlformats.org/officeDocument/2006/relationships/hyperlink" Target="https://www.susumu.co.jp/common/pdf/n_catalog_partition08_en.pdf" TargetMode="External"/><Relationship Id="rId33" Type="http://schemas.openxmlformats.org/officeDocument/2006/relationships/hyperlink" Target="https://www.digikey.com/en/products/detail/susumu/RL1220S-R20-F/432484" TargetMode="External"/><Relationship Id="rId34" Type="http://schemas.openxmlformats.org/officeDocument/2006/relationships/hyperlink" Target="https://www.keyelco.com/product-pdf.cfm?p=1380" TargetMode="External"/><Relationship Id="rId35" Type="http://schemas.openxmlformats.org/officeDocument/2006/relationships/hyperlink" Target="https://www.digikey.com/en/products/detail/keystone-electronics/3586TR/2746528" TargetMode="External"/><Relationship Id="rId36" Type="http://schemas.openxmlformats.org/officeDocument/2006/relationships/hyperlink" Target="https://www.digikey.com/ordering/shoppingcart" TargetMode="External"/><Relationship Id="rId37" Type="http://schemas.openxmlformats.org/officeDocument/2006/relationships/vmlDrawing" Target="../drawings/vmlDrawing1.vml"/><Relationship Id="rId38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tabSelected="1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defaultRowHeight="15" outlineLevelCol="3"/>
  <cols>
    <col min="1" max="2" width="11.7109375" customWidth="1"/>
    <col min="3" max="3" width="12.7109375" customWidth="1" outlineLevel="2"/>
    <col min="4" max="4" width="20.7109375" customWidth="1" outlineLevel="1"/>
    <col min="5" max="5" width="9.140625" outlineLevel="1"/>
    <col min="6" max="6" width="22.7109375" customWidth="1"/>
    <col min="7" max="7" width="16.7109375" customWidth="1"/>
    <col min="8" max="8" width="9.7109375" customWidth="1" outlineLevel="1"/>
    <col min="9" max="9" width="9.140625" outlineLevel="2"/>
    <col min="10" max="10" width="10.7109375" customWidth="1" outlineLevel="2"/>
    <col min="11" max="11" width="0" hidden="1" customWidth="1" outlineLevel="3" collapsed="1"/>
    <col min="12" max="12" width="16.7109375" customWidth="1"/>
    <col min="13" max="13" width="26.7109375" customWidth="1" outlineLevel="2"/>
  </cols>
  <sheetData>
    <row r="1" spans="1:13">
      <c r="A1" s="1" t="s">
        <v>77</v>
      </c>
      <c r="B1" s="2" t="s">
        <v>78</v>
      </c>
      <c r="F1" s="3" t="s">
        <v>82</v>
      </c>
      <c r="G1" s="3">
        <v>1</v>
      </c>
    </row>
    <row r="2" spans="1:13">
      <c r="A2" s="1" t="s">
        <v>79</v>
      </c>
      <c r="B2" s="2"/>
      <c r="F2" s="1" t="s">
        <v>84</v>
      </c>
      <c r="G2" s="4">
        <f>TotalCost/BoardQty</f>
        <v>13.34</v>
      </c>
    </row>
    <row r="3" spans="1:13">
      <c r="A3" s="1" t="s">
        <v>80</v>
      </c>
      <c r="B3" s="2" t="s">
        <v>81</v>
      </c>
      <c r="F3" s="1" t="s">
        <v>83</v>
      </c>
      <c r="G3" s="5">
        <f>SUM(G7:G25)</f>
        <v>13.34</v>
      </c>
      <c r="L3" s="5">
        <f>SUM(L7:L25)</f>
        <v>13.34</v>
      </c>
      <c r="M3" s="6" t="str">
        <f>(COUNTA(L7:L25)&amp;" of "&amp;ROWS(L7:L25)&amp;" parts found")</f>
        <v>19 of 19 parts found</v>
      </c>
    </row>
    <row r="4" spans="1:13">
      <c r="A4" s="1" t="s">
        <v>85</v>
      </c>
      <c r="B4" s="2" t="s">
        <v>86</v>
      </c>
    </row>
    <row r="5" spans="1:13">
      <c r="A5" s="7" t="s">
        <v>0</v>
      </c>
      <c r="B5" s="7"/>
      <c r="C5" s="7"/>
      <c r="D5" s="7"/>
      <c r="E5" s="7"/>
      <c r="F5" s="7"/>
      <c r="G5" s="7"/>
      <c r="H5" s="8" t="s">
        <v>49</v>
      </c>
      <c r="I5" s="8"/>
      <c r="J5" s="8"/>
      <c r="K5" s="8"/>
      <c r="L5" s="8"/>
      <c r="M5" s="8"/>
    </row>
    <row r="6" spans="1:13">
      <c r="A6" s="9" t="s">
        <v>1</v>
      </c>
      <c r="B6" s="9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50</v>
      </c>
      <c r="I6" s="9" t="s">
        <v>51</v>
      </c>
      <c r="J6" s="9" t="s">
        <v>6</v>
      </c>
      <c r="K6" s="9" t="s">
        <v>52</v>
      </c>
      <c r="L6" s="9" t="s">
        <v>7</v>
      </c>
      <c r="M6" s="9" t="s">
        <v>53</v>
      </c>
    </row>
    <row r="7" spans="1:13">
      <c r="A7" s="10" t="s">
        <v>8</v>
      </c>
      <c r="B7" s="10" t="s">
        <v>9</v>
      </c>
      <c r="C7" s="10" t="s">
        <v>9</v>
      </c>
      <c r="D7" s="10" t="s">
        <v>10</v>
      </c>
      <c r="E7" s="10">
        <f>CEILING(BoardQty*3.0,1)</f>
        <v>3</v>
      </c>
      <c r="F7" s="11">
        <f>IF(MIN(J7)&lt;&gt;0,MIN(J7),"")</f>
        <v>0.08</v>
      </c>
      <c r="G7" s="12">
        <f>IF(AND(ISNUMBER(E7),ISNUMBER(F7)),E7*F7,"")</f>
        <v>0.24</v>
      </c>
      <c r="H7" s="10">
        <v>3599108</v>
      </c>
      <c r="I7" s="10"/>
      <c r="J7" s="11">
        <f>IFERROR(IF(OR(I7&gt;=K7,E7&gt;=K7),LOOKUP(IF(I7="",E7,I7),{0,1,10},{0.0,0.08,0.006}),"MOQ="&amp;K7),"")</f>
        <v>0.08</v>
      </c>
      <c r="K7" s="10">
        <v>1</v>
      </c>
      <c r="L7" s="12">
        <f>IFERROR(IF(I7="",E7,I7)*J7,"")</f>
        <v>0.24</v>
      </c>
      <c r="M7" s="10" t="s">
        <v>54</v>
      </c>
    </row>
    <row r="8" spans="1:13">
      <c r="A8" s="10" t="s">
        <v>11</v>
      </c>
      <c r="B8" s="10" t="s">
        <v>9</v>
      </c>
      <c r="C8" s="10" t="s">
        <v>9</v>
      </c>
      <c r="D8" s="10" t="s">
        <v>12</v>
      </c>
      <c r="E8" s="10">
        <f>CEILING(BoardQty*1.0,1)</f>
        <v>1</v>
      </c>
      <c r="F8" s="11">
        <f>IF(MIN(J8)&lt;&gt;0,MIN(J8),"")</f>
        <v>0.15</v>
      </c>
      <c r="G8" s="12">
        <f>IF(AND(ISNUMBER(E8),ISNUMBER(F8)),E8*F8,"")</f>
        <v>0.15</v>
      </c>
      <c r="H8" s="10">
        <v>386143</v>
      </c>
      <c r="I8" s="10"/>
      <c r="J8" s="11">
        <f>IFERROR(IF(OR(I8&gt;=K8,E8&gt;=K8),LOOKUP(IF(I8="",E8,I8),{0,1,10,50,100,500,1000},{0.0,0.15,0.084,0.0586,0.0511,0.03834,0.03442}),"MOQ="&amp;K8),"")</f>
        <v>0.15</v>
      </c>
      <c r="K8" s="10">
        <v>1</v>
      </c>
      <c r="L8" s="12">
        <f>IFERROR(IF(I8="",E8,I8)*J8,"")</f>
        <v>0.15</v>
      </c>
      <c r="M8" s="10" t="s">
        <v>55</v>
      </c>
    </row>
    <row r="9" spans="1:13">
      <c r="A9" s="10" t="s">
        <v>13</v>
      </c>
      <c r="B9" s="10" t="s">
        <v>9</v>
      </c>
      <c r="C9" s="10" t="s">
        <v>9</v>
      </c>
      <c r="D9" s="10" t="s">
        <v>14</v>
      </c>
      <c r="E9" s="10">
        <f>CEILING(BoardQty*3.0,1)</f>
        <v>3</v>
      </c>
      <c r="F9" s="11">
        <f>IF(MIN(J9)&lt;&gt;0,MIN(J9),"")</f>
        <v>0.08</v>
      </c>
      <c r="G9" s="12">
        <f>IF(AND(ISNUMBER(E9),ISNUMBER(F9)),E9*F9,"")</f>
        <v>0.24</v>
      </c>
      <c r="H9" s="10">
        <v>5222574</v>
      </c>
      <c r="I9" s="10"/>
      <c r="J9" s="11">
        <f>IFERROR(IF(OR(I9&gt;=K9,E9&gt;=K9),LOOKUP(IF(I9="",E9,I9),{0,1,10},{0.0,0.08,0.016}),"MOQ="&amp;K9),"")</f>
        <v>0.08</v>
      </c>
      <c r="K9" s="10">
        <v>1</v>
      </c>
      <c r="L9" s="12">
        <f>IFERROR(IF(I9="",E9,I9)*J9,"")</f>
        <v>0.24</v>
      </c>
      <c r="M9" s="10" t="s">
        <v>56</v>
      </c>
    </row>
    <row r="10" spans="1:13">
      <c r="A10" s="10" t="s">
        <v>15</v>
      </c>
      <c r="B10" s="10" t="s">
        <v>9</v>
      </c>
      <c r="C10" s="10" t="s">
        <v>9</v>
      </c>
      <c r="D10" s="10" t="s">
        <v>16</v>
      </c>
      <c r="E10" s="10">
        <f>CEILING(BoardQty*1.0,1)</f>
        <v>1</v>
      </c>
      <c r="F10" s="11">
        <f>IF(MIN(J10)&lt;&gt;0,MIN(J10),"")</f>
        <v>0.1</v>
      </c>
      <c r="G10" s="12">
        <f>IF(AND(ISNUMBER(E10),ISNUMBER(F10)),E10*F10,"")</f>
        <v>0.1</v>
      </c>
      <c r="H10" s="10">
        <v>124315</v>
      </c>
      <c r="I10" s="10"/>
      <c r="J10" s="11">
        <f>IFERROR(IF(OR(I10&gt;=K10,E10&gt;=K10),LOOKUP(IF(I10="",E10,I10),{0,1,10,50,100,500,1000},{0.0,0.1,0.037,0.0252,0.0216,0.01552,0.01365}),"MOQ="&amp;K10),"")</f>
        <v>0.1</v>
      </c>
      <c r="K10" s="10">
        <v>1</v>
      </c>
      <c r="L10" s="12">
        <f>IFERROR(IF(I10="",E10,I10)*J10,"")</f>
        <v>0.1</v>
      </c>
      <c r="M10" s="10" t="s">
        <v>57</v>
      </c>
    </row>
    <row r="11" spans="1:13">
      <c r="A11" s="10" t="s">
        <v>17</v>
      </c>
      <c r="B11" s="10" t="s">
        <v>9</v>
      </c>
      <c r="C11" s="10" t="s">
        <v>9</v>
      </c>
      <c r="D11" s="10" t="s">
        <v>18</v>
      </c>
      <c r="E11" s="10">
        <f>CEILING(BoardQty*1.0,1)</f>
        <v>1</v>
      </c>
      <c r="F11" s="11">
        <f>IF(MIN(J11)&lt;&gt;0,MIN(J11),"")</f>
        <v>0.41</v>
      </c>
      <c r="G11" s="12">
        <f>IF(AND(ISNUMBER(E11),ISNUMBER(F11)),E11*F11,"")</f>
        <v>0.41</v>
      </c>
      <c r="H11" s="10">
        <v>235740</v>
      </c>
      <c r="I11" s="10"/>
      <c r="J11" s="11">
        <f>IFERROR(IF(OR(I11&gt;=K11,E11&gt;=K11),LOOKUP(IF(I11="",E11,I11),{0,1,10,50,100},{0.0,0.41,0.249,0.1832,0.1621}),"MOQ="&amp;K11),"")</f>
        <v>0.41</v>
      </c>
      <c r="K11" s="10">
        <v>1</v>
      </c>
      <c r="L11" s="12">
        <f>IFERROR(IF(I11="",E11,I11)*J11,"")</f>
        <v>0.41</v>
      </c>
      <c r="M11" s="10" t="s">
        <v>58</v>
      </c>
    </row>
    <row r="12" spans="1:13">
      <c r="A12" s="10" t="s">
        <v>19</v>
      </c>
      <c r="B12" s="10" t="s">
        <v>9</v>
      </c>
      <c r="C12" s="10" t="s">
        <v>9</v>
      </c>
      <c r="D12" s="10" t="s">
        <v>20</v>
      </c>
      <c r="E12" s="10">
        <f>CEILING(BoardQty*2.0,1)</f>
        <v>2</v>
      </c>
      <c r="F12" s="11">
        <f>IF(MIN(J12)&lt;&gt;0,MIN(J12),"")</f>
        <v>1.13</v>
      </c>
      <c r="G12" s="12">
        <f>IF(AND(ISNUMBER(E12),ISNUMBER(F12)),E12*F12,"")</f>
        <v>2.26</v>
      </c>
      <c r="H12" s="10">
        <v>71246</v>
      </c>
      <c r="I12" s="10"/>
      <c r="J12" s="11">
        <f>IFERROR(IF(OR(I12&gt;=K12,E12&gt;=K12),LOOKUP(IF(I12="",E12,I12),{0,1,10,50,100,500,1000},{0.0,1.13,0.706,0.572,0.5234,0.44132,0.41594}),"MOQ="&amp;K12),"")</f>
        <v>1.13</v>
      </c>
      <c r="K12" s="10">
        <v>1</v>
      </c>
      <c r="L12" s="12">
        <f>IFERROR(IF(I12="",E12,I12)*J12,"")</f>
        <v>2.26</v>
      </c>
      <c r="M12" s="10" t="s">
        <v>59</v>
      </c>
    </row>
    <row r="13" spans="1:13">
      <c r="A13" s="10" t="s">
        <v>21</v>
      </c>
      <c r="B13" s="10" t="s">
        <v>9</v>
      </c>
      <c r="C13" s="10" t="s">
        <v>9</v>
      </c>
      <c r="D13" s="10" t="s">
        <v>22</v>
      </c>
      <c r="E13" s="10">
        <f>CEILING(BoardQty*1.0,1)</f>
        <v>1</v>
      </c>
      <c r="F13" s="11">
        <f>IF(MIN(J13)&lt;&gt;0,MIN(J13),"")</f>
        <v/>
      </c>
      <c r="G13" s="12">
        <f>IF(AND(ISNUMBER(E13),ISNUMBER(F13)),E13*F13,"")</f>
        <v/>
      </c>
      <c r="H13" s="13" t="s">
        <v>61</v>
      </c>
      <c r="I13" s="10"/>
      <c r="J13" s="11">
        <f>IFERROR(IF(OR(I13&gt;=K13,E13&gt;=K13),LOOKUP(IF(I13="",E13,I13),{0,1,2500},{0.0,0.07324,0.07324}),"MOQ="&amp;K13),"")</f>
        <v/>
      </c>
      <c r="K13" s="10">
        <v>2500</v>
      </c>
      <c r="L13" s="12">
        <f>IFERROR(IF(I13="",E13,I13)*J13,"")</f>
        <v/>
      </c>
      <c r="M13" s="10" t="s">
        <v>60</v>
      </c>
    </row>
    <row r="14" spans="1:13">
      <c r="A14" s="10" t="s">
        <v>23</v>
      </c>
      <c r="B14" s="10" t="s">
        <v>9</v>
      </c>
      <c r="C14" s="10" t="s">
        <v>9</v>
      </c>
      <c r="D14" s="10" t="s">
        <v>24</v>
      </c>
      <c r="E14" s="10">
        <f>CEILING(BoardQty*1.0,1)</f>
        <v>1</v>
      </c>
      <c r="F14" s="11">
        <f>IF(MIN(J14)&lt;&gt;0,MIN(J14),"")</f>
        <v>0.56</v>
      </c>
      <c r="G14" s="12">
        <f>IF(AND(ISNUMBER(E14),ISNUMBER(F14)),E14*F14,"")</f>
        <v>0.56</v>
      </c>
      <c r="H14" s="10">
        <v>12238</v>
      </c>
      <c r="I14" s="10"/>
      <c r="J14" s="11">
        <f>IFERROR(IF(OR(I14&gt;=K14,E14&gt;=K14),LOOKUP(IF(I14="",E14,I14),{0,1,10,25,100,250,500,1000},{0.0,0.56,0.393,0.352,0.3066,0.28496,0.27188,0.26111}),"MOQ="&amp;K14),"")</f>
        <v>0.56</v>
      </c>
      <c r="K14" s="10">
        <v>1</v>
      </c>
      <c r="L14" s="12">
        <f>IFERROR(IF(I14="",E14,I14)*J14,"")</f>
        <v>0.56</v>
      </c>
      <c r="M14" s="10" t="s">
        <v>62</v>
      </c>
    </row>
    <row r="15" spans="1:13">
      <c r="A15" s="10" t="s">
        <v>25</v>
      </c>
      <c r="B15" s="10" t="s">
        <v>9</v>
      </c>
      <c r="C15" s="10" t="s">
        <v>9</v>
      </c>
      <c r="D15" s="10" t="s">
        <v>26</v>
      </c>
      <c r="E15" s="10">
        <f>CEILING(BoardQty*2.0,1)</f>
        <v>2</v>
      </c>
      <c r="F15" s="11">
        <f>IF(MIN(J15)&lt;&gt;0,MIN(J15),"")</f>
        <v>1.51</v>
      </c>
      <c r="G15" s="12">
        <f>IF(AND(ISNUMBER(E15),ISNUMBER(F15)),E15*F15,"")</f>
        <v>3.02</v>
      </c>
      <c r="H15" s="10">
        <v>3151</v>
      </c>
      <c r="I15" s="10"/>
      <c r="J15" s="11">
        <f>IFERROR(IF(OR(I15&gt;=K15,E15&gt;=K15),LOOKUP(IF(I15="",E15,I15),{0,1,10,25,100,250,500,1000},{0.0,1.51,1.104,1.002,0.8896,0.83612,0.80388,0.77733}),"MOQ="&amp;K15),"")</f>
        <v>1.51</v>
      </c>
      <c r="K15" s="10">
        <v>1</v>
      </c>
      <c r="L15" s="12">
        <f>IFERROR(IF(I15="",E15,I15)*J15,"")</f>
        <v>3.02</v>
      </c>
      <c r="M15" s="10" t="s">
        <v>63</v>
      </c>
    </row>
    <row r="16" spans="1:13">
      <c r="A16" s="10" t="s">
        <v>27</v>
      </c>
      <c r="B16" s="10" t="s">
        <v>9</v>
      </c>
      <c r="C16" s="10" t="s">
        <v>9</v>
      </c>
      <c r="D16" s="10" t="s">
        <v>28</v>
      </c>
      <c r="E16" s="10">
        <f>CEILING(BoardQty*3.0,1)</f>
        <v>3</v>
      </c>
      <c r="F16" s="11">
        <f>IF(MIN(J16)&lt;&gt;0,MIN(J16),"")</f>
        <v>0.86</v>
      </c>
      <c r="G16" s="12">
        <f>IF(AND(ISNUMBER(E16),ISNUMBER(F16)),E16*F16,"")</f>
        <v>2.58</v>
      </c>
      <c r="H16" s="10">
        <v>12408</v>
      </c>
      <c r="I16" s="10"/>
      <c r="J16" s="11">
        <f>IFERROR(IF(OR(I16&gt;=K16,E16&gt;=K16),LOOKUP(IF(I16="",E16,I16),{0,1,10,25,50,100},{0.0,0.86,0.624,0.5436,0.5164,0.4631}),"MOQ="&amp;K16),"")</f>
        <v>0.86</v>
      </c>
      <c r="K16" s="10">
        <v>1</v>
      </c>
      <c r="L16" s="12">
        <f>IFERROR(IF(I16="",E16,I16)*J16,"")</f>
        <v>2.58</v>
      </c>
      <c r="M16" s="10" t="s">
        <v>64</v>
      </c>
    </row>
    <row r="17" spans="1:13">
      <c r="A17" s="10" t="s">
        <v>29</v>
      </c>
      <c r="B17" s="10" t="s">
        <v>9</v>
      </c>
      <c r="C17" s="10" t="s">
        <v>9</v>
      </c>
      <c r="D17" s="10" t="s">
        <v>30</v>
      </c>
      <c r="E17" s="10">
        <f>CEILING(BoardQty*1.0,1)</f>
        <v>1</v>
      </c>
      <c r="F17" s="11">
        <f>IF(MIN(J17)&lt;&gt;0,MIN(J17),"")</f>
        <v>1.94</v>
      </c>
      <c r="G17" s="12">
        <f>IF(AND(ISNUMBER(E17),ISNUMBER(F17)),E17*F17,"")</f>
        <v>1.94</v>
      </c>
      <c r="H17" s="10">
        <v>1841</v>
      </c>
      <c r="I17" s="10"/>
      <c r="J17" s="11">
        <f>IFERROR(IF(OR(I17&gt;=K17,E17&gt;=K17),LOOKUP(IF(I17="",E17,I17),{0,1,10,50,100,500},{0.0,1.94,1.898,1.815,1.672,1.541}),"MOQ="&amp;K17),"")</f>
        <v>1.94</v>
      </c>
      <c r="K17" s="10">
        <v>1</v>
      </c>
      <c r="L17" s="12">
        <f>IFERROR(IF(I17="",E17,I17)*J17,"")</f>
        <v>1.94</v>
      </c>
      <c r="M17" s="10" t="s">
        <v>65</v>
      </c>
    </row>
    <row r="18" spans="1:13">
      <c r="A18" s="10" t="s">
        <v>31</v>
      </c>
      <c r="B18" s="10" t="s">
        <v>32</v>
      </c>
      <c r="C18" s="10" t="s">
        <v>9</v>
      </c>
      <c r="D18" s="10" t="s">
        <v>33</v>
      </c>
      <c r="E18" s="10">
        <f>CEILING(BoardQty*1.0,1)</f>
        <v>1</v>
      </c>
      <c r="F18" s="11">
        <f>IF(MIN(J18)&lt;&gt;0,MIN(J18),"")</f>
        <v>0.37</v>
      </c>
      <c r="G18" s="12">
        <f>IF(AND(ISNUMBER(E18),ISNUMBER(F18)),E18*F18,"")</f>
        <v>0.37</v>
      </c>
      <c r="H18" s="10">
        <v>47397</v>
      </c>
      <c r="I18" s="10"/>
      <c r="J18" s="11">
        <f>IFERROR(IF(OR(I18&gt;=K18,E18&gt;=K18),LOOKUP(IF(I18="",E18,I18),{0,1,10,100,500,1000},{0.0,0.37,0.228,0.143,0.10622,0.09431}),"MOQ="&amp;K18),"")</f>
        <v>0.37</v>
      </c>
      <c r="K18" s="10">
        <v>1</v>
      </c>
      <c r="L18" s="12">
        <f>IFERROR(IF(I18="",E18,I18)*J18,"")</f>
        <v>0.37</v>
      </c>
      <c r="M18" s="10" t="s">
        <v>66</v>
      </c>
    </row>
    <row r="19" spans="1:13">
      <c r="A19" s="10" t="s">
        <v>34</v>
      </c>
      <c r="B19" s="10" t="s">
        <v>35</v>
      </c>
      <c r="C19" s="10" t="s">
        <v>9</v>
      </c>
      <c r="D19" s="10" t="s">
        <v>36</v>
      </c>
      <c r="E19" s="10">
        <f>CEILING(BoardQty*1.0,1)</f>
        <v>1</v>
      </c>
      <c r="F19" s="11">
        <f>IF(MIN(J19)&lt;&gt;0,MIN(J19),"")</f>
        <v/>
      </c>
      <c r="G19" s="12">
        <f>IF(AND(ISNUMBER(E19),ISNUMBER(F19)),E19*F19,"")</f>
        <v/>
      </c>
      <c r="H19" s="10">
        <v>12000</v>
      </c>
      <c r="I19" s="10"/>
      <c r="J19" s="11">
        <f>IFERROR(IF(OR(I19&gt;=K19,E19&gt;=K19),LOOKUP(IF(I19="",E19,I19),{0,1,6000,12000,18000},{0.0,0.5734,0.5734,0.54606,0.53265}),"MOQ="&amp;K19),"")</f>
        <v/>
      </c>
      <c r="K19" s="10">
        <v>6000</v>
      </c>
      <c r="L19" s="12">
        <f>IFERROR(IF(I19="",E19,I19)*J19,"")</f>
        <v/>
      </c>
      <c r="M19" s="10" t="s">
        <v>67</v>
      </c>
    </row>
    <row r="20" spans="1:13">
      <c r="A20" s="10" t="s">
        <v>37</v>
      </c>
      <c r="B20" s="10" t="s">
        <v>9</v>
      </c>
      <c r="C20" s="10" t="s">
        <v>9</v>
      </c>
      <c r="D20" s="10" t="s">
        <v>38</v>
      </c>
      <c r="E20" s="10">
        <f>CEILING(BoardQty*1.0,1)</f>
        <v>1</v>
      </c>
      <c r="F20" s="11">
        <f>IF(MIN(J20)&lt;&gt;0,MIN(J20),"")</f>
        <v>0.1</v>
      </c>
      <c r="G20" s="12">
        <f>IF(AND(ISNUMBER(E20),ISNUMBER(F20)),E20*F20,"")</f>
        <v>0.1</v>
      </c>
      <c r="H20" s="10">
        <v>1227152</v>
      </c>
      <c r="I20" s="10"/>
      <c r="J20" s="11">
        <f>IFERROR(IF(OR(I20&gt;=K20,E20&gt;=K20),LOOKUP(IF(I20="",E20,I20),{0,1,10,25,50,100,250,500,1000},{0.0,0.1,0.035,0.026,0.0214,0.0176,0.01392,0.0118,0.01014}),"MOQ="&amp;K20),"")</f>
        <v>0.1</v>
      </c>
      <c r="K20" s="10">
        <v>1</v>
      </c>
      <c r="L20" s="12">
        <f>IFERROR(IF(I20="",E20,I20)*J20,"")</f>
        <v>0.1</v>
      </c>
      <c r="M20" s="10" t="s">
        <v>68</v>
      </c>
    </row>
    <row r="21" spans="1:13">
      <c r="A21" s="10" t="s">
        <v>39</v>
      </c>
      <c r="B21" s="10" t="s">
        <v>9</v>
      </c>
      <c r="C21" s="10" t="s">
        <v>9</v>
      </c>
      <c r="D21" s="10" t="s">
        <v>40</v>
      </c>
      <c r="E21" s="10">
        <f>CEILING(BoardQty*1.0,1)</f>
        <v>1</v>
      </c>
      <c r="F21" s="11">
        <f>IF(MIN(J21)&lt;&gt;0,MIN(J21),"")</f>
        <v>0.1</v>
      </c>
      <c r="G21" s="12">
        <f>IF(AND(ISNUMBER(E21),ISNUMBER(F21)),E21*F21,"")</f>
        <v>0.1</v>
      </c>
      <c r="H21" s="10">
        <v>95107</v>
      </c>
      <c r="I21" s="10"/>
      <c r="J21" s="11">
        <f>IFERROR(IF(OR(I21&gt;=K21,E21&gt;=K21),LOOKUP(IF(I21="",E21,I21),{0,1,10,25,50,100},{0.0,0.1,0.011,0.0096,0.0082,0.0077}),"MOQ="&amp;K21),"")</f>
        <v>0.1</v>
      </c>
      <c r="K21" s="10">
        <v>1</v>
      </c>
      <c r="L21" s="12">
        <f>IFERROR(IF(I21="",E21,I21)*J21,"")</f>
        <v>0.1</v>
      </c>
      <c r="M21" s="10" t="s">
        <v>69</v>
      </c>
    </row>
    <row r="22" spans="1:13">
      <c r="A22" s="10" t="s">
        <v>41</v>
      </c>
      <c r="B22" s="10" t="s">
        <v>9</v>
      </c>
      <c r="C22" s="10" t="s">
        <v>9</v>
      </c>
      <c r="D22" s="10" t="s">
        <v>42</v>
      </c>
      <c r="E22" s="10">
        <f>CEILING(BoardQty*2.0,1)</f>
        <v>2</v>
      </c>
      <c r="F22" s="11">
        <f>IF(MIN(J22)&lt;&gt;0,MIN(J22),"")</f>
        <v>0.1</v>
      </c>
      <c r="G22" s="12">
        <f>IF(AND(ISNUMBER(E22),ISNUMBER(F22)),E22*F22,"")</f>
        <v>0.2</v>
      </c>
      <c r="H22" s="10">
        <v>130853</v>
      </c>
      <c r="I22" s="10"/>
      <c r="J22" s="11">
        <f>IFERROR(IF(OR(I22&gt;=K22,E22&gt;=K22),LOOKUP(IF(I22="",E22,I22),{0,1,10,25,50,100,250,500,1000},{0.0,0.1,0.08,0.0744,0.0704,0.0664,0.06164,0.05832,0.0553}),"MOQ="&amp;K22),"")</f>
        <v>0.1</v>
      </c>
      <c r="K22" s="10">
        <v>1</v>
      </c>
      <c r="L22" s="12">
        <f>IFERROR(IF(I22="",E22,I22)*J22,"")</f>
        <v>0.2</v>
      </c>
      <c r="M22" s="10" t="s">
        <v>70</v>
      </c>
    </row>
    <row r="23" spans="1:13">
      <c r="A23" s="10" t="s">
        <v>43</v>
      </c>
      <c r="B23" s="10" t="s">
        <v>9</v>
      </c>
      <c r="C23" s="10" t="s">
        <v>9</v>
      </c>
      <c r="D23" s="10" t="s">
        <v>44</v>
      </c>
      <c r="E23" s="10">
        <f>CEILING(BoardQty*1.0,1)</f>
        <v>1</v>
      </c>
      <c r="F23" s="11">
        <f>IF(MIN(J23)&lt;&gt;0,MIN(J23),"")</f>
        <v>0.1</v>
      </c>
      <c r="G23" s="12">
        <f>IF(AND(ISNUMBER(E23),ISNUMBER(F23)),E23*F23,"")</f>
        <v>0.1</v>
      </c>
      <c r="H23" s="10">
        <v>201092</v>
      </c>
      <c r="I23" s="10"/>
      <c r="J23" s="11">
        <f>IFERROR(IF(OR(I23&gt;=K23,E23&gt;=K23),LOOKUP(IF(I23="",E23,I23),{0,1,10,25,50},{0.0,0.1,0.01,0.0092,0.0082}),"MOQ="&amp;K23),"")</f>
        <v>0.1</v>
      </c>
      <c r="K23" s="10">
        <v>1</v>
      </c>
      <c r="L23" s="12">
        <f>IFERROR(IF(I23="",E23,I23)*J23,"")</f>
        <v>0.1</v>
      </c>
      <c r="M23" s="10" t="s">
        <v>71</v>
      </c>
    </row>
    <row r="24" spans="1:13">
      <c r="A24" s="10" t="s">
        <v>45</v>
      </c>
      <c r="B24" s="10" t="s">
        <v>9</v>
      </c>
      <c r="C24" s="10" t="s">
        <v>9</v>
      </c>
      <c r="D24" s="10" t="s">
        <v>46</v>
      </c>
      <c r="E24" s="10">
        <f>CEILING(BoardQty*2.0,1)</f>
        <v>2</v>
      </c>
      <c r="F24" s="11">
        <f>IF(MIN(J24)&lt;&gt;0,MIN(J24),"")</f>
        <v>0.17</v>
      </c>
      <c r="G24" s="12">
        <f>IF(AND(ISNUMBER(E24),ISNUMBER(F24)),E24*F24,"")</f>
        <v>0.34</v>
      </c>
      <c r="H24" s="10">
        <v>243936</v>
      </c>
      <c r="I24" s="10"/>
      <c r="J24" s="11">
        <f>IFERROR(IF(OR(I24&gt;=K24,E24&gt;=K24),LOOKUP(IF(I24="",E24,I24),{0,1,10,25,50,100,250,500,1000},{0.0,0.17,0.109,0.0912,0.0804,0.0712,0.061,0.05462,0.04918}),"MOQ="&amp;K24),"")</f>
        <v>0.17</v>
      </c>
      <c r="K24" s="10">
        <v>1</v>
      </c>
      <c r="L24" s="12">
        <f>IFERROR(IF(I24="",E24,I24)*J24,"")</f>
        <v>0.34</v>
      </c>
      <c r="M24" s="10" t="s">
        <v>72</v>
      </c>
    </row>
    <row r="25" spans="1:13">
      <c r="A25" s="10" t="s">
        <v>47</v>
      </c>
      <c r="B25" s="10" t="s">
        <v>9</v>
      </c>
      <c r="C25" s="10" t="s">
        <v>9</v>
      </c>
      <c r="D25" s="10" t="s">
        <v>48</v>
      </c>
      <c r="E25" s="10">
        <f>CEILING(BoardQty*1.0,1)</f>
        <v>1</v>
      </c>
      <c r="F25" s="11">
        <f>IF(MIN(J25)&lt;&gt;0,MIN(J25),"")</f>
        <v>0.63</v>
      </c>
      <c r="G25" s="12">
        <f>IF(AND(ISNUMBER(E25),ISNUMBER(F25)),E25*F25,"")</f>
        <v>0.63</v>
      </c>
      <c r="H25" s="10">
        <v>54578</v>
      </c>
      <c r="I25" s="10"/>
      <c r="J25" s="11">
        <f>IFERROR(IF(OR(I25&gt;=K25,E25&gt;=K25),LOOKUP(IF(I25="",E25,I25),{0,1,10,25,100},{0.0,0.63,0.471,0.4212,0.38}),"MOQ="&amp;K25),"")</f>
        <v>0.63</v>
      </c>
      <c r="K25" s="10">
        <v>1</v>
      </c>
      <c r="L25" s="12">
        <f>IFERROR(IF(I25="",E25,I25)*J25,"")</f>
        <v>0.63</v>
      </c>
      <c r="M25" s="10" t="s">
        <v>73</v>
      </c>
    </row>
    <row r="27" spans="1:13">
      <c r="F27" s="1" t="s">
        <v>75</v>
      </c>
      <c r="G27" s="5">
        <f>SUM(L27)</f>
        <v>0</v>
      </c>
      <c r="H27" s="14" t="s">
        <v>74</v>
      </c>
      <c r="I27" s="6">
        <f>IFERROR(IF(COUNTIF(I7:I25,"&gt;0")&gt;0,COUNTIF(I7:I25,"&gt;0")&amp;" of "&amp;(ROWS(K7:K25)-COUNTBLANK(K7:K25))&amp;" parts purchased",""),"")</f>
        <v/>
      </c>
      <c r="L27" s="5">
        <f>SUMIF(I7:I25,"&gt;0",L7:L25)</f>
        <v>0</v>
      </c>
    </row>
    <row r="28" spans="1:13">
      <c r="A28" s="2" t="s">
        <v>87</v>
      </c>
      <c r="F28" s="15" t="s">
        <v>76</v>
      </c>
      <c r="I28" s="16">
        <f>CONCATENATE(I48,I49,I50,I51,I52,I53,I54,I55,I56,I57,I58,I59,I60,I61,I62,I63,I64,I65,I66)</f>
        <v/>
      </c>
    </row>
    <row r="48" spans="9:9" ht="30" hidden="1" customHeight="1">
      <c r="I48" t="str">
        <f t="array" ref="I48:I66">IF(ISNUMBER(I7:I25)*(I7:I25&gt;=K7:K25)*(M7:M25&lt;&gt;""),TEXT(ROUNDUP(I7:I25/IF(ISNUMBER(K7:K25),K7:K25,1),0)*K7:K25,"##0")&amp;","&amp;M7:M25&amp;","&amp;SUBSTITUTE(SUBSTITUTE(IF(PURCHASE_DESCRIPTION&lt;&gt;"",PURCHASE_DESCRIPTION&amp;":","")&amp;A7:A25,",",";"),"
"," ")&amp;CHAR(10),"")</f>
        <v/>
      </c>
    </row>
    <row r="49" spans="9:9" ht="30" hidden="1" customHeight="1">
      <c r="I49">
        <v>0</v>
      </c>
    </row>
    <row r="50" spans="9:9" ht="30" hidden="1" customHeight="1">
      <c r="I50">
        <v>0</v>
      </c>
    </row>
    <row r="51" spans="9:9" ht="30" hidden="1" customHeight="1">
      <c r="I51">
        <v>0</v>
      </c>
    </row>
    <row r="52" spans="9:9" ht="30" hidden="1" customHeight="1">
      <c r="I52">
        <v>0</v>
      </c>
    </row>
    <row r="53" spans="9:9" ht="30" hidden="1" customHeight="1">
      <c r="I53">
        <v>0</v>
      </c>
    </row>
    <row r="54" spans="9:9" ht="30" hidden="1" customHeight="1">
      <c r="I54">
        <v>0</v>
      </c>
    </row>
    <row r="55" spans="9:9" ht="30" hidden="1" customHeight="1">
      <c r="I55">
        <v>0</v>
      </c>
    </row>
    <row r="56" spans="9:9" ht="30" hidden="1" customHeight="1">
      <c r="I56">
        <v>0</v>
      </c>
    </row>
    <row r="57" spans="9:9" ht="30" hidden="1" customHeight="1">
      <c r="I57">
        <v>0</v>
      </c>
    </row>
    <row r="58" spans="9:9" ht="30" hidden="1" customHeight="1">
      <c r="I58">
        <v>0</v>
      </c>
    </row>
    <row r="59" spans="9:9" ht="30" hidden="1" customHeight="1">
      <c r="I59">
        <v>0</v>
      </c>
    </row>
    <row r="60" spans="9:9" ht="30" hidden="1" customHeight="1">
      <c r="I60">
        <v>0</v>
      </c>
    </row>
    <row r="61" spans="9:9" ht="30" hidden="1" customHeight="1">
      <c r="I61">
        <v>0</v>
      </c>
    </row>
    <row r="62" spans="9:9" ht="30" hidden="1" customHeight="1">
      <c r="I62">
        <v>0</v>
      </c>
    </row>
    <row r="63" spans="9:9" ht="30" hidden="1" customHeight="1">
      <c r="I63">
        <v>0</v>
      </c>
    </row>
    <row r="64" spans="9:9" ht="30" hidden="1" customHeight="1">
      <c r="I64">
        <v>0</v>
      </c>
    </row>
    <row r="65" spans="9:9" ht="30" hidden="1" customHeight="1">
      <c r="I65">
        <v>0</v>
      </c>
    </row>
    <row r="66" spans="9:9" ht="30" hidden="1" customHeight="1">
      <c r="I66">
        <v>0</v>
      </c>
    </row>
  </sheetData>
  <mergeCells count="3">
    <mergeCell ref="A5:G5"/>
    <mergeCell ref="H5:M5"/>
    <mergeCell ref="I28:L47"/>
  </mergeCells>
  <conditionalFormatting sqref="E10">
    <cfRule type="expression" dxfId="3" priority="53">
      <formula>AND(ISBLANK(D10),ISBLANK(L10))</formula>
    </cfRule>
    <cfRule type="expression" dxfId="1" priority="54">
      <formula>IF(SUM(H10)=0,1,0)</formula>
    </cfRule>
    <cfRule type="cellIs" dxfId="0" priority="55" operator="greaterThan">
      <formula>SUM(H10)</formula>
    </cfRule>
    <cfRule type="cellIs" dxfId="2" priority="56" operator="greaterThan">
      <formula>SUM(IF(ISNUMBER(J10),I10,0))</formula>
    </cfRule>
  </conditionalFormatting>
  <conditionalFormatting sqref="E11">
    <cfRule type="expression" dxfId="3" priority="57">
      <formula>AND(ISBLANK(D11),ISBLANK(L11))</formula>
    </cfRule>
    <cfRule type="expression" dxfId="1" priority="58">
      <formula>IF(SUM(H11)=0,1,0)</formula>
    </cfRule>
    <cfRule type="cellIs" dxfId="0" priority="59" operator="greaterThan">
      <formula>SUM(H11)</formula>
    </cfRule>
    <cfRule type="cellIs" dxfId="2" priority="60" operator="greaterThan">
      <formula>SUM(IF(ISNUMBER(J11),I11,0))</formula>
    </cfRule>
  </conditionalFormatting>
  <conditionalFormatting sqref="E12">
    <cfRule type="expression" dxfId="3" priority="61">
      <formula>AND(ISBLANK(D12),ISBLANK(L12))</formula>
    </cfRule>
    <cfRule type="expression" dxfId="1" priority="62">
      <formula>IF(SUM(H12)=0,1,0)</formula>
    </cfRule>
    <cfRule type="cellIs" dxfId="0" priority="63" operator="greaterThan">
      <formula>SUM(H12)</formula>
    </cfRule>
    <cfRule type="cellIs" dxfId="2" priority="64" operator="greaterThan">
      <formula>SUM(IF(ISNUMBER(J12),I12,0))</formula>
    </cfRule>
  </conditionalFormatting>
  <conditionalFormatting sqref="E13">
    <cfRule type="expression" dxfId="3" priority="65">
      <formula>AND(ISBLANK(D13),ISBLANK(L13))</formula>
    </cfRule>
    <cfRule type="expression" dxfId="1" priority="66">
      <formula>IF(SUM(H13)=0,1,0)</formula>
    </cfRule>
    <cfRule type="cellIs" dxfId="0" priority="67" operator="greaterThan">
      <formula>SUM(H13)</formula>
    </cfRule>
    <cfRule type="cellIs" dxfId="2" priority="68" operator="greaterThan">
      <formula>SUM(IF(ISNUMBER(J13),I13,0))</formula>
    </cfRule>
  </conditionalFormatting>
  <conditionalFormatting sqref="E14">
    <cfRule type="expression" dxfId="3" priority="69">
      <formula>AND(ISBLANK(D14),ISBLANK(L14))</formula>
    </cfRule>
    <cfRule type="expression" dxfId="1" priority="70">
      <formula>IF(SUM(H14)=0,1,0)</formula>
    </cfRule>
    <cfRule type="cellIs" dxfId="0" priority="71" operator="greaterThan">
      <formula>SUM(H14)</formula>
    </cfRule>
    <cfRule type="cellIs" dxfId="2" priority="72" operator="greaterThan">
      <formula>SUM(IF(ISNUMBER(J14),I14,0))</formula>
    </cfRule>
  </conditionalFormatting>
  <conditionalFormatting sqref="E15">
    <cfRule type="expression" dxfId="3" priority="73">
      <formula>AND(ISBLANK(D15),ISBLANK(L15))</formula>
    </cfRule>
    <cfRule type="expression" dxfId="1" priority="74">
      <formula>IF(SUM(H15)=0,1,0)</formula>
    </cfRule>
    <cfRule type="cellIs" dxfId="0" priority="75" operator="greaterThan">
      <formula>SUM(H15)</formula>
    </cfRule>
    <cfRule type="cellIs" dxfId="2" priority="76" operator="greaterThan">
      <formula>SUM(IF(ISNUMBER(J15),I15,0))</formula>
    </cfRule>
  </conditionalFormatting>
  <conditionalFormatting sqref="E16">
    <cfRule type="expression" dxfId="3" priority="77">
      <formula>AND(ISBLANK(D16),ISBLANK(L16))</formula>
    </cfRule>
    <cfRule type="expression" dxfId="1" priority="78">
      <formula>IF(SUM(H16)=0,1,0)</formula>
    </cfRule>
    <cfRule type="cellIs" dxfId="0" priority="79" operator="greaterThan">
      <formula>SUM(H16)</formula>
    </cfRule>
    <cfRule type="cellIs" dxfId="2" priority="80" operator="greaterThan">
      <formula>SUM(IF(ISNUMBER(J16),I16,0))</formula>
    </cfRule>
  </conditionalFormatting>
  <conditionalFormatting sqref="E17">
    <cfRule type="expression" dxfId="3" priority="81">
      <formula>AND(ISBLANK(D17),ISBLANK(L17))</formula>
    </cfRule>
    <cfRule type="expression" dxfId="1" priority="82">
      <formula>IF(SUM(H17)=0,1,0)</formula>
    </cfRule>
    <cfRule type="cellIs" dxfId="0" priority="83" operator="greaterThan">
      <formula>SUM(H17)</formula>
    </cfRule>
    <cfRule type="cellIs" dxfId="2" priority="84" operator="greaterThan">
      <formula>SUM(IF(ISNUMBER(J17),I17,0))</formula>
    </cfRule>
  </conditionalFormatting>
  <conditionalFormatting sqref="E18">
    <cfRule type="expression" dxfId="3" priority="85">
      <formula>AND(ISBLANK(D18),ISBLANK(L18))</formula>
    </cfRule>
    <cfRule type="expression" dxfId="1" priority="86">
      <formula>IF(SUM(H18)=0,1,0)</formula>
    </cfRule>
    <cfRule type="cellIs" dxfId="0" priority="87" operator="greaterThan">
      <formula>SUM(H18)</formula>
    </cfRule>
    <cfRule type="cellIs" dxfId="2" priority="88" operator="greaterThan">
      <formula>SUM(IF(ISNUMBER(J18),I18,0))</formula>
    </cfRule>
  </conditionalFormatting>
  <conditionalFormatting sqref="E19">
    <cfRule type="expression" dxfId="3" priority="89">
      <formula>AND(ISBLANK(D19),ISBLANK(L19))</formula>
    </cfRule>
    <cfRule type="expression" dxfId="1" priority="90">
      <formula>IF(SUM(H19)=0,1,0)</formula>
    </cfRule>
    <cfRule type="cellIs" dxfId="0" priority="91" operator="greaterThan">
      <formula>SUM(H19)</formula>
    </cfRule>
    <cfRule type="cellIs" dxfId="2" priority="92" operator="greaterThan">
      <formula>SUM(IF(ISNUMBER(J19),I19,0))</formula>
    </cfRule>
  </conditionalFormatting>
  <conditionalFormatting sqref="E20">
    <cfRule type="expression" dxfId="3" priority="93">
      <formula>AND(ISBLANK(D20),ISBLANK(L20))</formula>
    </cfRule>
    <cfRule type="expression" dxfId="1" priority="94">
      <formula>IF(SUM(H20)=0,1,0)</formula>
    </cfRule>
    <cfRule type="cellIs" dxfId="0" priority="95" operator="greaterThan">
      <formula>SUM(H20)</formula>
    </cfRule>
    <cfRule type="cellIs" dxfId="2" priority="96" operator="greaterThan">
      <formula>SUM(IF(ISNUMBER(J20),I20,0))</formula>
    </cfRule>
  </conditionalFormatting>
  <conditionalFormatting sqref="E21">
    <cfRule type="expression" dxfId="3" priority="97">
      <formula>AND(ISBLANK(D21),ISBLANK(L21))</formula>
    </cfRule>
    <cfRule type="expression" dxfId="1" priority="98">
      <formula>IF(SUM(H21)=0,1,0)</formula>
    </cfRule>
    <cfRule type="cellIs" dxfId="0" priority="99" operator="greaterThan">
      <formula>SUM(H21)</formula>
    </cfRule>
    <cfRule type="cellIs" dxfId="2" priority="100" operator="greaterThan">
      <formula>SUM(IF(ISNUMBER(J21),I21,0))</formula>
    </cfRule>
  </conditionalFormatting>
  <conditionalFormatting sqref="E22">
    <cfRule type="expression" dxfId="3" priority="101">
      <formula>AND(ISBLANK(D22),ISBLANK(L22))</formula>
    </cfRule>
    <cfRule type="expression" dxfId="1" priority="102">
      <formula>IF(SUM(H22)=0,1,0)</formula>
    </cfRule>
    <cfRule type="cellIs" dxfId="0" priority="103" operator="greaterThan">
      <formula>SUM(H22)</formula>
    </cfRule>
    <cfRule type="cellIs" dxfId="2" priority="104" operator="greaterThan">
      <formula>SUM(IF(ISNUMBER(J22),I22,0))</formula>
    </cfRule>
  </conditionalFormatting>
  <conditionalFormatting sqref="E23">
    <cfRule type="expression" dxfId="3" priority="105">
      <formula>AND(ISBLANK(D23),ISBLANK(L23))</formula>
    </cfRule>
    <cfRule type="expression" dxfId="1" priority="106">
      <formula>IF(SUM(H23)=0,1,0)</formula>
    </cfRule>
    <cfRule type="cellIs" dxfId="0" priority="107" operator="greaterThan">
      <formula>SUM(H23)</formula>
    </cfRule>
    <cfRule type="cellIs" dxfId="2" priority="108" operator="greaterThan">
      <formula>SUM(IF(ISNUMBER(J23),I23,0))</formula>
    </cfRule>
  </conditionalFormatting>
  <conditionalFormatting sqref="E24">
    <cfRule type="expression" dxfId="3" priority="109">
      <formula>AND(ISBLANK(D24),ISBLANK(L24))</formula>
    </cfRule>
    <cfRule type="expression" dxfId="1" priority="110">
      <formula>IF(SUM(H24)=0,1,0)</formula>
    </cfRule>
    <cfRule type="cellIs" dxfId="0" priority="111" operator="greaterThan">
      <formula>SUM(H24)</formula>
    </cfRule>
    <cfRule type="cellIs" dxfId="2" priority="112" operator="greaterThan">
      <formula>SUM(IF(ISNUMBER(J24),I24,0))</formula>
    </cfRule>
  </conditionalFormatting>
  <conditionalFormatting sqref="E25">
    <cfRule type="expression" dxfId="3" priority="113">
      <formula>AND(ISBLANK(D25),ISBLANK(L25))</formula>
    </cfRule>
    <cfRule type="expression" dxfId="1" priority="114">
      <formula>IF(SUM(H25)=0,1,0)</formula>
    </cfRule>
    <cfRule type="cellIs" dxfId="0" priority="115" operator="greaterThan">
      <formula>SUM(H25)</formula>
    </cfRule>
    <cfRule type="cellIs" dxfId="2" priority="116" operator="greaterThan">
      <formula>SUM(IF(ISNUMBER(J25),I25,0))</formula>
    </cfRule>
  </conditionalFormatting>
  <conditionalFormatting sqref="E7">
    <cfRule type="expression" dxfId="3" priority="41">
      <formula>AND(ISBLANK(D7),ISBLANK(L7))</formula>
    </cfRule>
    <cfRule type="expression" dxfId="1" priority="42">
      <formula>IF(SUM(H7)=0,1,0)</formula>
    </cfRule>
    <cfRule type="cellIs" dxfId="0" priority="43" operator="greaterThan">
      <formula>SUM(H7)</formula>
    </cfRule>
    <cfRule type="cellIs" dxfId="2" priority="44" operator="greaterThan">
      <formula>SUM(IF(ISNUMBER(J7),I7,0))</formula>
    </cfRule>
  </conditionalFormatting>
  <conditionalFormatting sqref="E8">
    <cfRule type="expression" dxfId="3" priority="45">
      <formula>AND(ISBLANK(D8),ISBLANK(L8))</formula>
    </cfRule>
    <cfRule type="expression" dxfId="1" priority="46">
      <formula>IF(SUM(H8)=0,1,0)</formula>
    </cfRule>
    <cfRule type="cellIs" dxfId="0" priority="47" operator="greaterThan">
      <formula>SUM(H8)</formula>
    </cfRule>
    <cfRule type="cellIs" dxfId="2" priority="48" operator="greaterThan">
      <formula>SUM(IF(ISNUMBER(J8),I8,0))</formula>
    </cfRule>
  </conditionalFormatting>
  <conditionalFormatting sqref="E9">
    <cfRule type="expression" dxfId="3" priority="49">
      <formula>AND(ISBLANK(D9),ISBLANK(L9))</formula>
    </cfRule>
    <cfRule type="expression" dxfId="1" priority="50">
      <formula>IF(SUM(H9)=0,1,0)</formula>
    </cfRule>
    <cfRule type="cellIs" dxfId="0" priority="51" operator="greaterThan">
      <formula>SUM(H9)</formula>
    </cfRule>
    <cfRule type="cellIs" dxfId="2" priority="52" operator="greaterThan">
      <formula>SUM(IF(ISNUMBER(J9),I9,0))</formula>
    </cfRule>
  </conditionalFormatting>
  <conditionalFormatting sqref="H10">
    <cfRule type="cellIs" dxfId="0" priority="7" operator="lessThan">
      <formula>E10</formula>
    </cfRule>
  </conditionalFormatting>
  <conditionalFormatting sqref="H11">
    <cfRule type="cellIs" dxfId="0" priority="9" operator="lessThan">
      <formula>E11</formula>
    </cfRule>
  </conditionalFormatting>
  <conditionalFormatting sqref="H12">
    <cfRule type="cellIs" dxfId="0" priority="11" operator="lessThan">
      <formula>E12</formula>
    </cfRule>
  </conditionalFormatting>
  <conditionalFormatting sqref="H13">
    <cfRule type="cellIs" dxfId="0" priority="13" operator="lessThan">
      <formula>E13</formula>
    </cfRule>
  </conditionalFormatting>
  <conditionalFormatting sqref="H14">
    <cfRule type="cellIs" dxfId="0" priority="16" operator="lessThan">
      <formula>E14</formula>
    </cfRule>
  </conditionalFormatting>
  <conditionalFormatting sqref="H15">
    <cfRule type="cellIs" dxfId="0" priority="18" operator="lessThan">
      <formula>E15</formula>
    </cfRule>
  </conditionalFormatting>
  <conditionalFormatting sqref="H16">
    <cfRule type="cellIs" dxfId="0" priority="20" operator="lessThan">
      <formula>E16</formula>
    </cfRule>
  </conditionalFormatting>
  <conditionalFormatting sqref="H17">
    <cfRule type="cellIs" dxfId="0" priority="22" operator="lessThan">
      <formula>E17</formula>
    </cfRule>
  </conditionalFormatting>
  <conditionalFormatting sqref="H18">
    <cfRule type="cellIs" dxfId="0" priority="24" operator="lessThan">
      <formula>E18</formula>
    </cfRule>
  </conditionalFormatting>
  <conditionalFormatting sqref="H19">
    <cfRule type="cellIs" dxfId="0" priority="26" operator="lessThan">
      <formula>E19</formula>
    </cfRule>
  </conditionalFormatting>
  <conditionalFormatting sqref="H20">
    <cfRule type="cellIs" dxfId="0" priority="29" operator="lessThan">
      <formula>E20</formula>
    </cfRule>
  </conditionalFormatting>
  <conditionalFormatting sqref="H21">
    <cfRule type="cellIs" dxfId="0" priority="31" operator="lessThan">
      <formula>E21</formula>
    </cfRule>
  </conditionalFormatting>
  <conditionalFormatting sqref="H22">
    <cfRule type="cellIs" dxfId="0" priority="33" operator="lessThan">
      <formula>E22</formula>
    </cfRule>
  </conditionalFormatting>
  <conditionalFormatting sqref="H23">
    <cfRule type="cellIs" dxfId="0" priority="35" operator="lessThan">
      <formula>E23</formula>
    </cfRule>
  </conditionalFormatting>
  <conditionalFormatting sqref="H24">
    <cfRule type="cellIs" dxfId="0" priority="37" operator="lessThan">
      <formula>E24</formula>
    </cfRule>
  </conditionalFormatting>
  <conditionalFormatting sqref="H25">
    <cfRule type="cellIs" dxfId="0" priority="39" operator="lessThan">
      <formula>E25</formula>
    </cfRule>
  </conditionalFormatting>
  <conditionalFormatting sqref="H7">
    <cfRule type="cellIs" dxfId="0" priority="1" operator="lessThan">
      <formula>E7</formula>
    </cfRule>
  </conditionalFormatting>
  <conditionalFormatting sqref="H8">
    <cfRule type="cellIs" dxfId="0" priority="3" operator="lessThan">
      <formula>E8</formula>
    </cfRule>
  </conditionalFormatting>
  <conditionalFormatting sqref="H9">
    <cfRule type="cellIs" dxfId="0" priority="5" operator="lessThan">
      <formula>E9</formula>
    </cfRule>
  </conditionalFormatting>
  <conditionalFormatting sqref="I10">
    <cfRule type="expression" dxfId="1" priority="8">
      <formula>AND(NOT(ISBLANK(I10)),OR(H10="NonStk",I10&gt;H10))</formula>
    </cfRule>
  </conditionalFormatting>
  <conditionalFormatting sqref="I11">
    <cfRule type="expression" dxfId="1" priority="10">
      <formula>AND(NOT(ISBLANK(I11)),OR(H11="NonStk",I11&gt;H11))</formula>
    </cfRule>
  </conditionalFormatting>
  <conditionalFormatting sqref="I12">
    <cfRule type="expression" dxfId="1" priority="12">
      <formula>AND(NOT(ISBLANK(I12)),OR(H12="NonStk",I12&gt;H12))</formula>
    </cfRule>
  </conditionalFormatting>
  <conditionalFormatting sqref="I13">
    <cfRule type="expression" dxfId="2" priority="14">
      <formula>AND(I13&gt;0,MOD(I13,K13)&lt;&gt;0)</formula>
    </cfRule>
    <cfRule type="expression" dxfId="1" priority="15">
      <formula>AND(NOT(ISBLANK(I13)),OR(H13="NonStk",I13&gt;H13))</formula>
    </cfRule>
  </conditionalFormatting>
  <conditionalFormatting sqref="I14">
    <cfRule type="expression" dxfId="1" priority="17">
      <formula>AND(NOT(ISBLANK(I14)),OR(H14="NonStk",I14&gt;H14))</formula>
    </cfRule>
  </conditionalFormatting>
  <conditionalFormatting sqref="I15">
    <cfRule type="expression" dxfId="1" priority="19">
      <formula>AND(NOT(ISBLANK(I15)),OR(H15="NonStk",I15&gt;H15))</formula>
    </cfRule>
  </conditionalFormatting>
  <conditionalFormatting sqref="I16">
    <cfRule type="expression" dxfId="1" priority="21">
      <formula>AND(NOT(ISBLANK(I16)),OR(H16="NonStk",I16&gt;H16))</formula>
    </cfRule>
  </conditionalFormatting>
  <conditionalFormatting sqref="I17">
    <cfRule type="expression" dxfId="1" priority="23">
      <formula>AND(NOT(ISBLANK(I17)),OR(H17="NonStk",I17&gt;H17))</formula>
    </cfRule>
  </conditionalFormatting>
  <conditionalFormatting sqref="I18">
    <cfRule type="expression" dxfId="1" priority="25">
      <formula>AND(NOT(ISBLANK(I18)),OR(H18="NonStk",I18&gt;H18))</formula>
    </cfRule>
  </conditionalFormatting>
  <conditionalFormatting sqref="I19">
    <cfRule type="expression" dxfId="2" priority="27">
      <formula>AND(I19&gt;0,MOD(I19,K19)&lt;&gt;0)</formula>
    </cfRule>
    <cfRule type="expression" dxfId="1" priority="28">
      <formula>AND(NOT(ISBLANK(I19)),OR(H19="NonStk",I19&gt;H19))</formula>
    </cfRule>
  </conditionalFormatting>
  <conditionalFormatting sqref="I20">
    <cfRule type="expression" dxfId="1" priority="30">
      <formula>AND(NOT(ISBLANK(I20)),OR(H20="NonStk",I20&gt;H20))</formula>
    </cfRule>
  </conditionalFormatting>
  <conditionalFormatting sqref="I21">
    <cfRule type="expression" dxfId="1" priority="32">
      <formula>AND(NOT(ISBLANK(I21)),OR(H21="NonStk",I21&gt;H21))</formula>
    </cfRule>
  </conditionalFormatting>
  <conditionalFormatting sqref="I22">
    <cfRule type="expression" dxfId="1" priority="34">
      <formula>AND(NOT(ISBLANK(I22)),OR(H22="NonStk",I22&gt;H22))</formula>
    </cfRule>
  </conditionalFormatting>
  <conditionalFormatting sqref="I23">
    <cfRule type="expression" dxfId="1" priority="36">
      <formula>AND(NOT(ISBLANK(I23)),OR(H23="NonStk",I23&gt;H23))</formula>
    </cfRule>
  </conditionalFormatting>
  <conditionalFormatting sqref="I24">
    <cfRule type="expression" dxfId="1" priority="38">
      <formula>AND(NOT(ISBLANK(I24)),OR(H24="NonStk",I24&gt;H24))</formula>
    </cfRule>
  </conditionalFormatting>
  <conditionalFormatting sqref="I25">
    <cfRule type="expression" dxfId="1" priority="40">
      <formula>AND(NOT(ISBLANK(I25)),OR(H25="NonStk",I25&gt;H25))</formula>
    </cfRule>
  </conditionalFormatting>
  <conditionalFormatting sqref="I7">
    <cfRule type="expression" dxfId="1" priority="2">
      <formula>AND(NOT(ISBLANK(I7)),OR(H7="NonStk",I7&gt;H7))</formula>
    </cfRule>
  </conditionalFormatting>
  <conditionalFormatting sqref="I8">
    <cfRule type="expression" dxfId="1" priority="4">
      <formula>AND(NOT(ISBLANK(I8)),OR(H8="NonStk",I8&gt;H8))</formula>
    </cfRule>
  </conditionalFormatting>
  <conditionalFormatting sqref="I9">
    <cfRule type="expression" dxfId="1" priority="6">
      <formula>AND(NOT(ISBLANK(I9)),OR(H9="NonStk",I9&gt;H9))</formula>
    </cfRule>
  </conditionalFormatting>
  <hyperlinks>
    <hyperlink ref="M7" r:id="rId1"/>
    <hyperlink ref="D8" r:id="rId2"/>
    <hyperlink ref="M8" r:id="rId3"/>
    <hyperlink ref="D9" r:id="rId4"/>
    <hyperlink ref="M9" r:id="rId5"/>
    <hyperlink ref="M10" r:id="rId6"/>
    <hyperlink ref="D11" r:id="rId7"/>
    <hyperlink ref="M11" r:id="rId8"/>
    <hyperlink ref="D12" r:id="rId9"/>
    <hyperlink ref="M12" r:id="rId10"/>
    <hyperlink ref="D13" r:id="rId11"/>
    <hyperlink ref="M13" r:id="rId12"/>
    <hyperlink ref="D14" r:id="rId13"/>
    <hyperlink ref="M14" r:id="rId14"/>
    <hyperlink ref="D15" r:id="rId15"/>
    <hyperlink ref="M15" r:id="rId16"/>
    <hyperlink ref="M16" r:id="rId17"/>
    <hyperlink ref="D17" r:id="rId18"/>
    <hyperlink ref="M17" r:id="rId19"/>
    <hyperlink ref="D18" r:id="rId20"/>
    <hyperlink ref="M18" r:id="rId21"/>
    <hyperlink ref="D19" r:id="rId22"/>
    <hyperlink ref="M19" r:id="rId23"/>
    <hyperlink ref="D20" r:id="rId24"/>
    <hyperlink ref="M20" r:id="rId25"/>
    <hyperlink ref="D21" r:id="rId26"/>
    <hyperlink ref="M21" r:id="rId27"/>
    <hyperlink ref="D22" r:id="rId28"/>
    <hyperlink ref="M22" r:id="rId29"/>
    <hyperlink ref="D23" r:id="rId30"/>
    <hyperlink ref="M23" r:id="rId31"/>
    <hyperlink ref="D24" r:id="rId32"/>
    <hyperlink ref="M24" r:id="rId33"/>
    <hyperlink ref="D25" r:id="rId34"/>
    <hyperlink ref="M25" r:id="rId35"/>
    <hyperlink ref="H27" r:id="rId36"/>
  </hyperlinks>
  <pageMargins left="0.7" right="0.7" top="0.75" bottom="0.75" header="0.3" footer="0.3"/>
  <legacyDrawing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JAARK_PCB_MOTOR</vt:lpstr>
      <vt:lpstr>'JAARK_PCB_MOTOR'!BoardQty</vt:lpstr>
      <vt:lpstr>'JAARK_PCB_MOTOR'!PURCHASE_DESCRIPTION</vt:lpstr>
      <vt:lpstr>'JAARK_PCB_MOTOR'!TotalCost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2026-02-08T18:43:18Z</dcterms:created>
  <dcterms:modified xsi:type="dcterms:W3CDTF">2026-02-08T18:43:18Z</dcterms:modified>
</cp:coreProperties>
</file>