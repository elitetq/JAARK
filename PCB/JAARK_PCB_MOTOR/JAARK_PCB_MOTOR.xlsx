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r\JAARK\PCB\JAARK_PCB_MOTOR\"/>
    </mc:Choice>
  </mc:AlternateContent>
  <xr:revisionPtr revIDLastSave="0" documentId="13_ncr:1_{2B6A063E-7635-4592-8FFA-48061525AD99}" xr6:coauthVersionLast="47" xr6:coauthVersionMax="47" xr10:uidLastSave="{00000000-0000-0000-0000-000000000000}"/>
  <bookViews>
    <workbookView xWindow="0" yWindow="9" windowWidth="22149" windowHeight="13920" xr2:uid="{00000000-000D-0000-FFFF-FFFF00000000}"/>
  </bookViews>
  <sheets>
    <sheet name="JAARK_PCB_MOTOR" sheetId="1" r:id="rId1"/>
  </sheets>
  <definedNames>
    <definedName name="BoardQty" localSheetId="0">JAARK_PCB_MOTOR!$G$1</definedName>
    <definedName name="PURCHASE_DESCRIPTION" localSheetId="0">JAARK_PCB_MOTOR!$G$30</definedName>
    <definedName name="TotalCost" localSheetId="0">JAARK_PCB_MOTOR!$G$3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 a="1"/>
  <c r="I76" i="1" s="1"/>
  <c r="L29" i="1"/>
  <c r="G29" i="1" s="1"/>
  <c r="I29" i="1"/>
  <c r="E27" i="1"/>
  <c r="J27" i="1" s="1"/>
  <c r="E26" i="1"/>
  <c r="J26" i="1" s="1"/>
  <c r="E25" i="1"/>
  <c r="J25" i="1" s="1"/>
  <c r="E24" i="1"/>
  <c r="J24" i="1" s="1"/>
  <c r="E23" i="1"/>
  <c r="J23" i="1" s="1"/>
  <c r="E22" i="1"/>
  <c r="J22" i="1" s="1"/>
  <c r="E21" i="1"/>
  <c r="J21" i="1" s="1"/>
  <c r="F21" i="1" s="1"/>
  <c r="E20" i="1"/>
  <c r="J20" i="1" s="1"/>
  <c r="E19" i="1"/>
  <c r="E18" i="1"/>
  <c r="J18" i="1" s="1"/>
  <c r="L18" i="1" s="1"/>
  <c r="E17" i="1"/>
  <c r="J17" i="1" s="1"/>
  <c r="E16" i="1"/>
  <c r="J16" i="1" s="1"/>
  <c r="E15" i="1"/>
  <c r="J15" i="1" s="1"/>
  <c r="E14" i="1"/>
  <c r="J14" i="1" s="1"/>
  <c r="E13" i="1"/>
  <c r="E12" i="1"/>
  <c r="E11" i="1"/>
  <c r="J11" i="1" s="1"/>
  <c r="L11" i="1" s="1"/>
  <c r="E10" i="1"/>
  <c r="J10" i="1" s="1"/>
  <c r="L10" i="1" s="1"/>
  <c r="E9" i="1"/>
  <c r="J9" i="1" s="1"/>
  <c r="L9" i="1" s="1"/>
  <c r="E8" i="1"/>
  <c r="J8" i="1" s="1"/>
  <c r="L8" i="1" s="1"/>
  <c r="E7" i="1"/>
  <c r="J7" i="1" s="1"/>
  <c r="L7" i="1" s="1"/>
  <c r="J19" i="1" l="1"/>
  <c r="F19" i="1" s="1"/>
  <c r="G19" i="1" s="1"/>
  <c r="L15" i="1"/>
  <c r="F15" i="1"/>
  <c r="G15" i="1" s="1"/>
  <c r="L16" i="1"/>
  <c r="F16" i="1"/>
  <c r="G16" i="1" s="1"/>
  <c r="L20" i="1"/>
  <c r="F20" i="1"/>
  <c r="G20" i="1" s="1"/>
  <c r="L25" i="1"/>
  <c r="F25" i="1"/>
  <c r="G25" i="1" s="1"/>
  <c r="L27" i="1"/>
  <c r="F27" i="1"/>
  <c r="G27" i="1" s="1"/>
  <c r="L14" i="1"/>
  <c r="F14" i="1"/>
  <c r="G14" i="1" s="1"/>
  <c r="L17" i="1"/>
  <c r="F17" i="1"/>
  <c r="G17" i="1" s="1"/>
  <c r="G18" i="1"/>
  <c r="G21" i="1"/>
  <c r="L22" i="1"/>
  <c r="F22" i="1"/>
  <c r="G22" i="1" s="1"/>
  <c r="F24" i="1"/>
  <c r="G24" i="1" s="1"/>
  <c r="L24" i="1"/>
  <c r="L23" i="1"/>
  <c r="F23" i="1"/>
  <c r="G23" i="1" s="1"/>
  <c r="L26" i="1"/>
  <c r="F26" i="1"/>
  <c r="G26" i="1" s="1"/>
  <c r="F18" i="1"/>
  <c r="F7" i="1"/>
  <c r="G7" i="1" s="1"/>
  <c r="J12" i="1"/>
  <c r="F9" i="1"/>
  <c r="G9" i="1" s="1"/>
  <c r="J13" i="1"/>
  <c r="I55" i="1"/>
  <c r="I56" i="1"/>
  <c r="L21" i="1"/>
  <c r="I57" i="1"/>
  <c r="I58" i="1"/>
  <c r="I59" i="1"/>
  <c r="F10" i="1"/>
  <c r="G10" i="1" s="1"/>
  <c r="I60" i="1"/>
  <c r="I61" i="1"/>
  <c r="I62" i="1"/>
  <c r="I63" i="1"/>
  <c r="L19" i="1"/>
  <c r="I64" i="1"/>
  <c r="F11" i="1"/>
  <c r="G11" i="1" s="1"/>
  <c r="I65" i="1"/>
  <c r="I66" i="1"/>
  <c r="I67" i="1"/>
  <c r="I68" i="1"/>
  <c r="I69" i="1"/>
  <c r="I70" i="1"/>
  <c r="I71" i="1"/>
  <c r="I72" i="1"/>
  <c r="I73" i="1"/>
  <c r="I74" i="1"/>
  <c r="F8" i="1"/>
  <c r="G8" i="1" s="1"/>
  <c r="I54" i="1"/>
  <c r="I75" i="1"/>
  <c r="F13" i="1" l="1"/>
  <c r="G13" i="1" s="1"/>
  <c r="L13" i="1"/>
  <c r="I30" i="1"/>
  <c r="L12" i="1"/>
  <c r="F12" i="1"/>
  <c r="G12" i="1" s="1"/>
  <c r="G3" i="1" s="1"/>
  <c r="G2" i="1" s="1"/>
  <c r="M3" i="1" l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M3" authorId="0" shapeId="0" xr:uid="{00000000-0006-0000-0000-000002000000}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6" authorId="0" shapeId="0" xr:uid="{00000000-0006-0000-0000-000003000000}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 shapeId="0" xr:uid="{00000000-0006-0000-0000-000004000000}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 shapeId="0" xr:uid="{00000000-0006-0000-0000-000005000000}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6" authorId="0" shapeId="0" xr:uid="{00000000-0006-0000-0000-000006000000}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F6" authorId="0" shapeId="0" xr:uid="{00000000-0006-0000-0000-000008000000}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G6" authorId="0" shapeId="0" xr:uid="{00000000-0006-0000-0000-000009000000}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H6" authorId="0" shapeId="0" xr:uid="{00000000-0006-0000-0000-00000A000000}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I6" authorId="0" shapeId="0" xr:uid="{00000000-0006-0000-0000-00000B000000}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J6" authorId="0" shapeId="0" xr:uid="{00000000-0006-0000-0000-00000C000000}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K6" authorId="0" shapeId="0" xr:uid="{00000000-0006-0000-0000-00000D000000}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L6" authorId="0" shapeId="0" xr:uid="{00000000-0006-0000-0000-00000E000000}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M6" authorId="0" shapeId="0" xr:uid="{00000000-0006-0000-0000-00000F000000}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J7" authorId="0" shapeId="0" xr:uid="{00000000-0006-0000-0000-000010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$0.08      $0.08
    10   $0.01      $0.06</t>
        </r>
      </text>
    </comment>
    <comment ref="M7" authorId="0" shapeId="0" xr:uid="{00000000-0006-0000-0000-000011000000}">
      <text>
        <r>
          <rPr>
            <sz val="8"/>
            <color indexed="81"/>
            <rFont val="Tahoma"/>
            <family val="2"/>
          </rPr>
          <t>Desc: CAP CER 0.1UF 50V X7R 0805
Footprint: 0805 (2012 Metric)
Size: 0.079" L x 0.049" W (2.00mm x 1.25mm)
Temp_coeff: X7R
Tolerance: ±10%
Value: 0.1 µF 
Voltage: 50V</t>
        </r>
      </text>
    </comment>
    <comment ref="J8" authorId="0" shapeId="0" xr:uid="{00000000-0006-0000-0000-000012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$0.15      $0.15
    10   $0.08      $0.84
    50   $0.06      $2.93
   100   $0.05      $5.11
   500   $0.04     $19.17
  1000   $0.03     $34.42</t>
        </r>
      </text>
    </comment>
    <comment ref="M8" authorId="0" shapeId="0" xr:uid="{00000000-0006-0000-0000-000013000000}">
      <text>
        <r>
          <rPr>
            <sz val="8"/>
            <color indexed="81"/>
            <rFont val="Tahoma"/>
            <family val="2"/>
          </rPr>
          <t>Desc: CAP CER 10UF 25V X5R 0805
Footprint: 0805 (2012 Metric)
Size: 0.079" L x 0.049" W (2.00mm x 1.25mm)
Temp_coeff: X5R
Tolerance: ±10%
Value: 10 µF 
Voltage: 25V</t>
        </r>
      </text>
    </comment>
    <comment ref="J9" authorId="0" shapeId="0" xr:uid="{00000000-0006-0000-0000-000014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$0.08      $0.08
    10   $0.02      $0.16</t>
        </r>
      </text>
    </comment>
    <comment ref="M9" authorId="0" shapeId="0" xr:uid="{00000000-0006-0000-0000-000015000000}">
      <text>
        <r>
          <rPr>
            <sz val="8"/>
            <color indexed="81"/>
            <rFont val="Tahoma"/>
            <family val="2"/>
          </rPr>
          <t>Desc: CAP CER 0.1UF 50V X7R 0805
Footprint: 0805 (2012 Metric)
Size: 0.079" L x 0.049" W (2.00mm x 1.25mm)
Temp_coeff: X7R
Tolerance: ±10%
Value: 0.1 µF 
Voltage: 50V</t>
        </r>
      </text>
    </comment>
    <comment ref="J10" authorId="0" shapeId="0" xr:uid="{00000000-0006-0000-0000-000016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$0.04      $0.37
    50   $0.03      $1.26
   100   $0.02      $2.16
   500   $0.02      $7.76
  1000   $0.01     $13.65</t>
        </r>
      </text>
    </comment>
    <comment ref="M10" authorId="0" shapeId="0" xr:uid="{00000000-0006-0000-0000-000017000000}">
      <text>
        <r>
          <rPr>
            <sz val="8"/>
            <color indexed="81"/>
            <rFont val="Tahoma"/>
            <family val="2"/>
          </rPr>
          <t>Desc: CAP CER 220PF 50V C0G/NP0 0805
Footprint: 0805 (2012 Metric)
Size: 0.079" L x 0.049" W (2.00mm x 1.25mm)
Temp_coeff: C0G, NP0
Tolerance: ±5%
Value: 220 pF 
Voltage: 50V</t>
        </r>
      </text>
    </comment>
    <comment ref="J11" authorId="0" shapeId="0" xr:uid="{00000000-0006-0000-0000-000018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$0.41      $0.41
    10   $0.25      $2.49
    50   $0.18      $9.16
   100   $0.16     $16.21</t>
        </r>
      </text>
    </comment>
    <comment ref="M11" authorId="0" shapeId="0" xr:uid="{00000000-0006-0000-0000-000019000000}">
      <text>
        <r>
          <rPr>
            <sz val="8"/>
            <color indexed="81"/>
            <rFont val="Tahoma"/>
            <family val="2"/>
          </rPr>
          <t>Desc: CAP ALUM 100UF 20% 35V SMD
Footprint: Radial, Can - SMD
Size: 0.248" Dia (6.30mm)
Tolerance: ±20%
Value: 100 µF 
Voltage: 35 V</t>
        </r>
      </text>
    </comment>
    <comment ref="J12" authorId="0" shapeId="0" xr:uid="{00000000-0006-0000-0000-00001A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$1.13      $1.13
    10   $0.71      $7.06
    50   $0.57     $28.60
   100   $0.52     $52.34
   500   $0.44    $220.66
  1000   $0.42    $415.94</t>
        </r>
      </text>
    </comment>
    <comment ref="M12" authorId="0" shapeId="0" xr:uid="{00000000-0006-0000-0000-00001B000000}">
      <text>
        <r>
          <rPr>
            <sz val="8"/>
            <color indexed="81"/>
            <rFont val="Tahoma"/>
            <family val="2"/>
          </rPr>
          <t>Desc: CAP CER 33UF 25V X5R 1206
Footprint: 1206 (3216 Metric)
Size: 0.126" L x 0.063" W (3.20mm x 1.60mm)
Temp_coeff: X5R
Tolerance: ±20%
Value: 33 µF 
Voltage: 25V</t>
        </r>
      </text>
    </comment>
    <comment ref="H13" authorId="0" shapeId="0" xr:uid="{00000000-0006-0000-0000-00001C000000}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J13" authorId="0" shapeId="0" xr:uid="{00000000-0006-0000-0000-00001D000000}">
      <text>
        <r>
          <rPr>
            <sz val="8"/>
            <color indexed="81"/>
            <rFont val="Tahoma"/>
            <family val="2"/>
          </rPr>
          <t>Qty/Price Breaks (USD):
  Qty  -  Unit$  -  Ext$
================
  2500   $0.07    $183.10</t>
        </r>
      </text>
    </comment>
    <comment ref="M13" authorId="0" shapeId="0" xr:uid="{00000000-0006-0000-0000-00001E000000}">
      <text>
        <r>
          <rPr>
            <sz val="8"/>
            <color indexed="81"/>
            <rFont val="Tahoma"/>
            <family val="2"/>
          </rPr>
          <t>Desc: TVS DIODE 12VWM 19.9VC SOD123FL
Footprint: SOD-123F</t>
        </r>
      </text>
    </comment>
    <comment ref="J14" authorId="0" shapeId="0" xr:uid="{00000000-0006-0000-0000-00001F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$0.56      $0.56
    10   $0.39      $3.93
    25   $0.35      $8.80
   100   $0.31     $30.66
   250   $0.28     $71.24
   500   $0.27    $135.94
  1000   $0.26    $261.11</t>
        </r>
      </text>
    </comment>
    <comment ref="M14" authorId="0" shapeId="0" xr:uid="{00000000-0006-0000-0000-000020000000}">
      <text>
        <r>
          <rPr>
            <sz val="8"/>
            <color indexed="81"/>
            <rFont val="Tahoma"/>
            <family val="2"/>
          </rPr>
          <t>Desc: IC REG BUCK ADJ 4A SOT563
Footprint: SOT-563, SOT-666</t>
        </r>
      </text>
    </comment>
    <comment ref="J15" authorId="0" shapeId="0" xr:uid="{00000000-0006-0000-0000-000021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$1.51      $1.51
    10   $1.10     $11.04
    25   $1.00     $25.05
   100   $0.89     $88.96
   250   $0.84    $209.03
   500   $0.80    $401.94
  1000   $0.78    $777.33</t>
        </r>
      </text>
    </comment>
    <comment ref="M15" authorId="0" shapeId="0" xr:uid="{00000000-0006-0000-0000-000022000000}">
      <text>
        <r>
          <rPr>
            <sz val="8"/>
            <color indexed="81"/>
            <rFont val="Tahoma"/>
            <family val="2"/>
          </rPr>
          <t>Desc: 33V H BRIDGE MOTOR DRIVER WITH C
Footprint: 8-PowerSOIC (0.154", 3.90mm Width)</t>
        </r>
      </text>
    </comment>
    <comment ref="J16" authorId="0" shapeId="0" xr:uid="{00000000-0006-0000-0000-000023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$0.86      $0.86
    10   $0.62      $6.24
    25   $0.54     $13.59
    50   $0.52     $25.82
   100   $0.46     $46.31</t>
        </r>
      </text>
    </comment>
    <comment ref="M16" authorId="0" shapeId="0" xr:uid="{00000000-0006-0000-0000-000024000000}">
      <text>
        <r>
          <rPr>
            <sz val="8"/>
            <color indexed="81"/>
            <rFont val="Tahoma"/>
            <family val="2"/>
          </rPr>
          <t>Desc: TERM BLK 2POS SIDE ENT 3.5MM PCB</t>
        </r>
      </text>
    </comment>
    <comment ref="H17" authorId="0" shapeId="0" xr:uid="{00000000-0006-0000-0000-000025000000}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J17" authorId="0" shapeId="0" xr:uid="{00000000-0006-0000-0000-000026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$3.57      $3.57
    10   $3.03     $30.31
   100   $2.58    $257.61
   500   $2.39  $1,193.29</t>
        </r>
      </text>
    </comment>
    <comment ref="M17" authorId="0" shapeId="0" xr:uid="{00000000-0006-0000-0000-000027000000}">
      <text>
        <r>
          <rPr>
            <sz val="8"/>
            <color indexed="81"/>
            <rFont val="Tahoma"/>
            <family val="2"/>
          </rPr>
          <t>Desc: CONN RCPT 38POS 0.1 TIN PCB</t>
        </r>
      </text>
    </comment>
    <comment ref="J18" authorId="0" shapeId="0" xr:uid="{00000000-0006-0000-0000-000028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$0.57      $0.57
    10   $0.49      $4.86
   100   $0.41     $41.27
   500   $0.37    $184.18
  1000   $0.35    $350.76
  5000   $0.31  $1,565.55
 10000   $0.30  $2,990.00</t>
        </r>
      </text>
    </comment>
    <comment ref="M18" authorId="0" shapeId="0" xr:uid="{00000000-0006-0000-0000-000029000000}">
      <text>
        <r>
          <rPr>
            <sz val="8"/>
            <color indexed="81"/>
            <rFont val="Tahoma"/>
            <family val="2"/>
          </rPr>
          <t>Desc: CONN HDR 6POS 0.1 GOLD PCB R/A</t>
        </r>
      </text>
    </comment>
    <comment ref="J19" authorId="0" shapeId="0" xr:uid="{00000000-0006-0000-0000-00002A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$1.94      $1.94
    10   $1.90     $18.98
    50   $1.81     $90.75
   100   $1.67    $167.20
   500   $1.54    $770.50</t>
        </r>
      </text>
    </comment>
    <comment ref="M19" authorId="0" shapeId="0" xr:uid="{00000000-0006-0000-0000-00002B000000}">
      <text>
        <r>
          <rPr>
            <sz val="8"/>
            <color indexed="81"/>
            <rFont val="Tahoma"/>
            <family val="2"/>
          </rPr>
          <t xml:space="preserve">Desc: FIXED IND 1.8UH 4.6A 30 MOHM SMD
Footprint: 1616 (4040 Metric)
Size: 0.161" L x 0.161" W (4.10mm x 4.10mm)
Tolerance: ±20%
Value: 1.8 µH </t>
        </r>
      </text>
    </comment>
    <comment ref="J20" authorId="0" shapeId="0" xr:uid="{00000000-0006-0000-0000-00002C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$0.37      $0.37
    10   $0.23      $2.28
   100   $0.14     $14.30
   500   $0.11     $53.11
  1000   $0.09     $94.31</t>
        </r>
      </text>
    </comment>
    <comment ref="M20" authorId="0" shapeId="0" xr:uid="{00000000-0006-0000-0000-00002D000000}">
      <text>
        <r>
          <rPr>
            <sz val="8"/>
            <color indexed="81"/>
            <rFont val="Tahoma"/>
            <family val="2"/>
          </rPr>
          <t>Desc: MOSFET P-CH 30V 4A SOT23F
Footprint: SOT-23-3 Flat Leads</t>
        </r>
      </text>
    </comment>
    <comment ref="J21" authorId="0" shapeId="0" xr:uid="{00000000-0006-0000-0000-000030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$0.19      $0.19
    10   $0.12      $1.19
   100   $0.10     $10.41
   500   $0.08     $38.30
  1000   $0.07     $67.68</t>
        </r>
      </text>
    </comment>
    <comment ref="M21" authorId="0" shapeId="0" xr:uid="{00000000-0006-0000-0000-000031000000}">
      <text>
        <r>
          <rPr>
            <sz val="8"/>
            <color indexed="81"/>
            <rFont val="Tahoma"/>
            <family val="2"/>
          </rPr>
          <t>Desc: TRANS PNP 40V 0.6A TO-92-3
Footprint: TO-226-3, TO-92-3 (TO-226AA) Formed Leads</t>
        </r>
      </text>
    </comment>
    <comment ref="J22" authorId="0" shapeId="0" xr:uid="{00000000-0006-0000-0000-000035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$0.04      $0.35
    25   $0.03      $0.65
    50   $0.02      $1.07
   100   $0.02      $1.76
   250   $0.01      $3.48
   500   $0.01      $5.90
  1000   $0.01     $10.14</t>
        </r>
      </text>
    </comment>
    <comment ref="M22" authorId="0" shapeId="0" xr:uid="{00000000-0006-0000-0000-000036000000}">
      <text>
        <r>
          <rPr>
            <sz val="8"/>
            <color indexed="81"/>
            <rFont val="Tahoma"/>
            <family val="2"/>
          </rPr>
          <t xml:space="preserve">Desc: RES SMD 220K OHM 1% 1/8W 0805
Footprint: 0805 (2012 Metric)
Power: 0.125W, 1/8W
Size: 0.079" L x 0.049" W (2.00mm x 1.25mm)
Temp_coeff: ±100ppm/°C
Tolerance: ±1%
Value: 220 kOhms </t>
        </r>
      </text>
    </comment>
    <comment ref="J23" authorId="0" shapeId="0" xr:uid="{00000000-0006-0000-0000-000037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$0.04      $0.37
    25   $0.03      $0.69
    50   $0.02      $1.13
   100   $0.02      $1.87
   250   $0.01      $3.70
   500   $0.01      $6.29
  1000   $0.01     $10.84</t>
        </r>
      </text>
    </comment>
    <comment ref="M23" authorId="0" shapeId="0" xr:uid="{00000000-0006-0000-0000-000038000000}">
      <text>
        <r>
          <rPr>
            <sz val="8"/>
            <color indexed="81"/>
            <rFont val="Tahoma"/>
            <family val="2"/>
          </rPr>
          <t xml:space="preserve">Desc: RES SMD 30K OHM 1% 1/8W 0805
Footprint: 0805 (2012 Metric)
Power: 0.125W, 1/8W
Size: 0.079" L x 0.049" W (2.00mm x 1.25mm)
Temp_coeff: ±100ppm/°C
Tolerance: ±1%
Value: 30 kOhms </t>
        </r>
      </text>
    </comment>
    <comment ref="J24" authorId="0" shapeId="0" xr:uid="{00000000-0006-0000-0000-000039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$0.08      $0.80
    25   $0.07      $1.86
    50   $0.07      $3.52
   100   $0.07      $6.64
   250   $0.06     $15.41
   500   $0.06     $29.16
  1000   $0.06     $55.30</t>
        </r>
      </text>
    </comment>
    <comment ref="M24" authorId="0" shapeId="0" xr:uid="{00000000-0006-0000-0000-00003A000000}">
      <text>
        <r>
          <rPr>
            <sz val="8"/>
            <color indexed="81"/>
            <rFont val="Tahoma"/>
            <family val="2"/>
          </rPr>
          <t xml:space="preserve">Desc: RES SMD 20K OHM 0.1% 1/8W 0805
Footprint: 0805 (2012 Metric)
Power: 0.125W, 1/8W
Size: 0.079" L x 0.049" W (2.00mm x 1.25mm)
Temp_coeff: ±25ppm/°C
Tolerance: ±0.1%
Value: 20 kOhms </t>
        </r>
      </text>
    </comment>
    <comment ref="J25" authorId="0" shapeId="0" xr:uid="{00000000-0006-0000-0000-00003B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$0.01      $0.10
    25   $0.01      $0.23
    50   $0.01      $0.41</t>
        </r>
      </text>
    </comment>
    <comment ref="M25" authorId="0" shapeId="0" xr:uid="{00000000-0006-0000-0000-00003C000000}">
      <text>
        <r>
          <rPr>
            <sz val="8"/>
            <color indexed="81"/>
            <rFont val="Tahoma"/>
            <family val="2"/>
          </rPr>
          <t xml:space="preserve">Desc: RES 40.2K OHM 1% 1/8W 0805
Footprint: 0805 (2012 Metric)
Power: 0.125W, 1/8W
Size: 0.079" L x 0.049" W (2.00mm x 1.25mm)
Temp_coeff: ±100ppm/°C
Tolerance: ±1%
Value: 40.2 kOhms </t>
        </r>
      </text>
    </comment>
    <comment ref="J26" authorId="0" shapeId="0" xr:uid="{00000000-0006-0000-0000-00003D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$0.17      $0.17
    10   $0.11      $1.09
    25   $0.09      $2.28
    50   $0.08      $4.02
   100   $0.07      $7.12
   250   $0.06     $15.25
   500   $0.05     $27.31
  1000   $0.05     $49.18</t>
        </r>
      </text>
    </comment>
    <comment ref="M26" authorId="0" shapeId="0" xr:uid="{00000000-0006-0000-0000-00003E000000}">
      <text>
        <r>
          <rPr>
            <sz val="8"/>
            <color indexed="81"/>
            <rFont val="Tahoma"/>
            <family val="2"/>
          </rPr>
          <t xml:space="preserve">Desc: RES 0.2 OHM 1% 1/3W 0805
Footprint: 0805 (2012 Metric)
Power: 0.333W, 1/3W
Size: 0.079" L x 0.049" W (2.00mm x 1.25mm)
Temp_coeff: 0/ +200ppm/°C
Tolerance: ±1%
Value: 200 mOhms </t>
        </r>
      </text>
    </comment>
    <comment ref="J27" authorId="0" shapeId="0" xr:uid="{00000000-0006-0000-0000-00003F000000}">
      <text>
        <r>
          <rPr>
            <sz val="8"/>
            <color indexed="81"/>
            <rFont val="Tahoma"/>
            <family val="2"/>
          </rPr>
          <t>Qty/Price Breaks (USD):
  Qty  -  Unit$  -  Ext$
================
     1   $0.44      $0.44
    10   $0.37      $3.70
    25   $0.35      $8.66
    50   $0.33     $16.49
   100   $0.31     $31.41
   250   $0.29     $73.59
   500   $0.28    $140.14
  1000   $0.27    $266.89
  2500   $0.25    $625.42</t>
        </r>
      </text>
    </comment>
    <comment ref="M27" authorId="0" shapeId="0" xr:uid="{00000000-0006-0000-0000-000040000000}">
      <text>
        <r>
          <rPr>
            <sz val="8"/>
            <color indexed="81"/>
            <rFont val="Tahoma"/>
            <family val="2"/>
          </rPr>
          <t>Desc: CONN RING CIRC 12-14AWG #6 CRIMP</t>
        </r>
      </text>
    </comment>
    <comment ref="F29" authorId="0" shapeId="0" xr:uid="{00000000-0006-0000-0000-000041000000}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I29" authorId="0" shapeId="0" xr:uid="{00000000-0006-0000-0000-000042000000}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F30" authorId="0" shapeId="0" xr:uid="{00000000-0006-0000-0000-000043000000}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<sst xmlns="http://schemas.openxmlformats.org/spreadsheetml/2006/main" count="136" uniqueCount="92">
  <si>
    <t>Global Part Info</t>
  </si>
  <si>
    <t>Refs</t>
  </si>
  <si>
    <t>Value</t>
  </si>
  <si>
    <t>Footprint</t>
  </si>
  <si>
    <t>Manf#</t>
  </si>
  <si>
    <t>Qty</t>
  </si>
  <si>
    <t>Unit$</t>
  </si>
  <si>
    <t>Ext$</t>
  </si>
  <si>
    <t>C1,C4,C5</t>
  </si>
  <si>
    <t>???</t>
  </si>
  <si>
    <t>CL21B104KBCNNNC</t>
  </si>
  <si>
    <t>C2</t>
  </si>
  <si>
    <t>CL21A106KAYNNNG</t>
  </si>
  <si>
    <t>C3,C8,C9,C13,C15</t>
  </si>
  <si>
    <t>C0805C104K5RACTU</t>
  </si>
  <si>
    <t>C6</t>
  </si>
  <si>
    <t>CL21C221JBANNNC</t>
  </si>
  <si>
    <t>C7</t>
  </si>
  <si>
    <t>UWT1V101MCL1GS</t>
  </si>
  <si>
    <t>C12,C14</t>
  </si>
  <si>
    <t>C3216X5R1E336M160AC</t>
  </si>
  <si>
    <t>D4</t>
  </si>
  <si>
    <t>SMF12CA</t>
  </si>
  <si>
    <t>IC1</t>
  </si>
  <si>
    <t>TPS564242DRLR</t>
  </si>
  <si>
    <t>IC9,IC10</t>
  </si>
  <si>
    <t>DRV8231DDAR</t>
  </si>
  <si>
    <t>J1,J4-J7</t>
  </si>
  <si>
    <t>1984617</t>
  </si>
  <si>
    <t>J2</t>
  </si>
  <si>
    <t>SSW-119-01-T-D</t>
  </si>
  <si>
    <t>J3</t>
  </si>
  <si>
    <t>PPPC061LGBN-RC</t>
  </si>
  <si>
    <t>L1</t>
  </si>
  <si>
    <t>74438356018</t>
  </si>
  <si>
    <t>SSM3J334R</t>
  </si>
  <si>
    <t>Q2</t>
  </si>
  <si>
    <t>2N4403TFR</t>
  </si>
  <si>
    <t>R1</t>
  </si>
  <si>
    <t>CRG0805F220K</t>
  </si>
  <si>
    <t>R2</t>
  </si>
  <si>
    <t>CRG0805F30K</t>
  </si>
  <si>
    <t>R3</t>
  </si>
  <si>
    <t>RG2012P-203-B-T5</t>
  </si>
  <si>
    <t>R4</t>
  </si>
  <si>
    <t>RC0805FR-0740K2L</t>
  </si>
  <si>
    <t>R10,R11</t>
  </si>
  <si>
    <t>RL1220S-R20-F</t>
  </si>
  <si>
    <t>U1</t>
  </si>
  <si>
    <t>3568</t>
  </si>
  <si>
    <t>Digi-Key</t>
  </si>
  <si>
    <t>Avail</t>
  </si>
  <si>
    <t>Purch</t>
  </si>
  <si>
    <t>MOQ</t>
  </si>
  <si>
    <t>Cat#</t>
  </si>
  <si>
    <t>1276-1003-1-ND</t>
  </si>
  <si>
    <t>1276-6454-1-ND</t>
  </si>
  <si>
    <t>399-C0805C104K5RACTUCT-ND</t>
  </si>
  <si>
    <t>1276-1164-1-ND</t>
  </si>
  <si>
    <t>493-2203-1-ND</t>
  </si>
  <si>
    <t>445-8046-1-ND</t>
  </si>
  <si>
    <t>353-SMF12CA-TP-ND</t>
  </si>
  <si>
    <t>NonStk</t>
  </si>
  <si>
    <t>296-TPS564242DRLRCT-ND</t>
  </si>
  <si>
    <t>296-DRV8231DDARCT-ND</t>
  </si>
  <si>
    <t>277-1721-ND</t>
  </si>
  <si>
    <t>SAM1212-19-ND</t>
  </si>
  <si>
    <t>S5481-ND</t>
  </si>
  <si>
    <t>732-8231-1-ND</t>
  </si>
  <si>
    <t>SSM3J334RLFCT-ND</t>
  </si>
  <si>
    <t>2N4403D26ZCT-ND</t>
  </si>
  <si>
    <t>A126350CT-ND</t>
  </si>
  <si>
    <t>A126360CT-ND</t>
  </si>
  <si>
    <t>RG20P20.0KBCT-ND</t>
  </si>
  <si>
    <t>311-40.2KCRCT-ND</t>
  </si>
  <si>
    <t>RL12S.20FCT-ND</t>
  </si>
  <si>
    <t>35684-ND</t>
  </si>
  <si>
    <t>Buy here</t>
  </si>
  <si>
    <t>Total Purchase:</t>
  </si>
  <si>
    <t>Purchase description:</t>
  </si>
  <si>
    <t>Prj:</t>
  </si>
  <si>
    <t>JAARK_PCB_MOTOR.csv</t>
  </si>
  <si>
    <t>Co.:</t>
  </si>
  <si>
    <t>Prj date:</t>
  </si>
  <si>
    <t>2026-02-15 16:47:53 (file)</t>
  </si>
  <si>
    <t>Board Qty:</t>
  </si>
  <si>
    <t>Total Cost:</t>
  </si>
  <si>
    <t>Unit Cost:</t>
  </si>
  <si>
    <t>$ date:</t>
  </si>
  <si>
    <t>2026-02-15 16:48:51</t>
  </si>
  <si>
    <t>KiCost® v1.1.20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</si>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</sst>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.000"/>
  </numFmts>
  <fonts count="1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1" applyAlignment="1" applyProtection="1"/>
    <xf numFmtId="0" fontId="0" fillId="0" borderId="0" xfId="0" applyAlignment="1">
      <alignment horizontal="right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9"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AAAAAA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.com/lit/ds/symlink/tps564242.pdf" TargetMode="External"/><Relationship Id="rId18" Type="http://schemas.openxmlformats.org/officeDocument/2006/relationships/hyperlink" Target="https://www.digikey.com/en/products/detail/samtec-inc/SSW-119-01-T-D/1112237" TargetMode="External"/><Relationship Id="rId26" Type="http://schemas.openxmlformats.org/officeDocument/2006/relationships/hyperlink" Target="https://www.te.com/commerce/DocumentDelivery/DDEController?Action=srchrtrv&amp;DocNm=1773204&amp;DocType=Data%20Sheet&amp;DocLang=English&amp;DocFormat=pdf&amp;PartCntxt=4-1622826-1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www.digikey.com/en/products/detail/w&#252;rth-elektronik/74438356018/5725346" TargetMode="External"/><Relationship Id="rId34" Type="http://schemas.openxmlformats.org/officeDocument/2006/relationships/hyperlink" Target="https://www.susumu.co.jp/common/pdf/n_catalog_partition08_en.pdf" TargetMode="External"/><Relationship Id="rId7" Type="http://schemas.openxmlformats.org/officeDocument/2006/relationships/hyperlink" Target="https://www.nichicon.co.jp/english/series_items/catalog_pdf/e-uwt.pdf" TargetMode="External"/><Relationship Id="rId12" Type="http://schemas.openxmlformats.org/officeDocument/2006/relationships/hyperlink" Target="https://www.digikey.com/en/products/detail/mcc-micro-commercial-components/SMF12CA-TP/17949888" TargetMode="External"/><Relationship Id="rId17" Type="http://schemas.openxmlformats.org/officeDocument/2006/relationships/hyperlink" Target="https://www.digikey.com/en/products/detail/phoenix-contact/1984617/950849" TargetMode="External"/><Relationship Id="rId25" Type="http://schemas.openxmlformats.org/officeDocument/2006/relationships/hyperlink" Target="https://www.digikey.com/en/products/detail/onsemi/2N4403TFR/458822" TargetMode="External"/><Relationship Id="rId33" Type="http://schemas.openxmlformats.org/officeDocument/2006/relationships/hyperlink" Target="https://www.digikey.com/en/products/detail/yageo/RC0805FR-0740K2L/727941" TargetMode="External"/><Relationship Id="rId38" Type="http://schemas.openxmlformats.org/officeDocument/2006/relationships/hyperlink" Target="https://www.digikey.com/ordering/shoppingcart" TargetMode="External"/><Relationship Id="rId2" Type="http://schemas.openxmlformats.org/officeDocument/2006/relationships/hyperlink" Target="https://weblib.samsungsem.com/mlcc/mlcc-ec-data-sheet.do?partNumber=CL05Y105KP6VPN" TargetMode="External"/><Relationship Id="rId16" Type="http://schemas.openxmlformats.org/officeDocument/2006/relationships/hyperlink" Target="https://www.digikey.com/en/products/detail/texas-instruments/DRV8231DDAR/16184249" TargetMode="External"/><Relationship Id="rId20" Type="http://schemas.openxmlformats.org/officeDocument/2006/relationships/hyperlink" Target="https://www.we-online.com/components/products/datasheet/74438356018.pdf" TargetMode="External"/><Relationship Id="rId29" Type="http://schemas.openxmlformats.org/officeDocument/2006/relationships/hyperlink" Target="https://www.digikey.com/en/products/detail/te-connectivity-passive-product/CRG0805F30K/2380886" TargetMode="External"/><Relationship Id="rId1" Type="http://schemas.openxmlformats.org/officeDocument/2006/relationships/hyperlink" Target="https://www.digikey.com/en/products/detail/samsung-electro-mechanics/CL21B104KBCNNNC/3886661" TargetMode="External"/><Relationship Id="rId6" Type="http://schemas.openxmlformats.org/officeDocument/2006/relationships/hyperlink" Target="https://www.digikey.com/en/products/detail/samsung-electro-mechanics/CL21C221JBANNNC/3886822" TargetMode="External"/><Relationship Id="rId11" Type="http://schemas.openxmlformats.org/officeDocument/2006/relationships/hyperlink" Target="https://www.mccsemi.com/pdf/Products/SMF5.0A_SMF200CA(SOD-123FL).pdf" TargetMode="External"/><Relationship Id="rId24" Type="http://schemas.openxmlformats.org/officeDocument/2006/relationships/hyperlink" Target="https://www.onsemi.com/pub/Collateral/2N4403T.PDF" TargetMode="External"/><Relationship Id="rId32" Type="http://schemas.openxmlformats.org/officeDocument/2006/relationships/hyperlink" Target="https://yageogroup.com/content/datasheet/asset/file/PYU-RC_GROUP_51_ROHS_L" TargetMode="External"/><Relationship Id="rId37" Type="http://schemas.openxmlformats.org/officeDocument/2006/relationships/hyperlink" Target="https://www.digikey.com/en/products/detail/te-connectivity-amp-connectors/35684/293074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www.digikey.com/en/products/detail/kemet/C0805C104K5RACTU/411169" TargetMode="External"/><Relationship Id="rId15" Type="http://schemas.openxmlformats.org/officeDocument/2006/relationships/hyperlink" Target="https://www.ti.com/lit/ds/symlink/drv8231.pdf" TargetMode="External"/><Relationship Id="rId23" Type="http://schemas.openxmlformats.org/officeDocument/2006/relationships/hyperlink" Target="https://www.digikey.com/en/products/detail/toshiba-semiconductor-and-storage/SSM3J334R-LF/3863578" TargetMode="External"/><Relationship Id="rId28" Type="http://schemas.openxmlformats.org/officeDocument/2006/relationships/hyperlink" Target="https://www.te.com/commerce/DocumentDelivery/DDEController?Action=srchrtrv&amp;DocNm=1773204&amp;DocType=Data%20Sheet&amp;DocLang=English&amp;DocFormat=pdf&amp;PartCntxt=4-1622826-1" TargetMode="External"/><Relationship Id="rId36" Type="http://schemas.openxmlformats.org/officeDocument/2006/relationships/hyperlink" Target="https://www.te.com/usa-en/product-35684.datasheet.pdf" TargetMode="External"/><Relationship Id="rId10" Type="http://schemas.openxmlformats.org/officeDocument/2006/relationships/hyperlink" Target="https://www.digikey.com/en/products/detail/tdk-corporation/C3216X5R1E336M160AC/2792259" TargetMode="External"/><Relationship Id="rId19" Type="http://schemas.openxmlformats.org/officeDocument/2006/relationships/hyperlink" Target="https://www.digikey.com/en/products/detail/sullins-connector-solutions/PPPC061LGBN-RC/775939" TargetMode="External"/><Relationship Id="rId31" Type="http://schemas.openxmlformats.org/officeDocument/2006/relationships/hyperlink" Target="https://www.digikey.com/en/products/detail/susumu/RG2012P-203-B-T5/1240704" TargetMode="External"/><Relationship Id="rId4" Type="http://schemas.openxmlformats.org/officeDocument/2006/relationships/hyperlink" Target="https://yageogroup.com/content/datasheet/asset/file/KEM_C1002_X7R_SMD" TargetMode="External"/><Relationship Id="rId9" Type="http://schemas.openxmlformats.org/officeDocument/2006/relationships/hyperlink" Target="https://product.tdk.com/system/files/dam/doc/product/capacitor/ceramic/mlcc/catalog/mlcc_commercial_general_en.pdf" TargetMode="External"/><Relationship Id="rId14" Type="http://schemas.openxmlformats.org/officeDocument/2006/relationships/hyperlink" Target="https://www.digikey.com/en/products/detail/texas-instruments/TPS564242DRLR/16585669" TargetMode="External"/><Relationship Id="rId22" Type="http://schemas.openxmlformats.org/officeDocument/2006/relationships/hyperlink" Target="https://toshiba.semicon-storage.com/info/docget.jsp?did=5579&amp;prodName=SSM3J334R" TargetMode="External"/><Relationship Id="rId27" Type="http://schemas.openxmlformats.org/officeDocument/2006/relationships/hyperlink" Target="https://www.digikey.com/en/products/detail/te-connectivity-passive-product/CRG0805F220K/2380869" TargetMode="External"/><Relationship Id="rId30" Type="http://schemas.openxmlformats.org/officeDocument/2006/relationships/hyperlink" Target="https://www.susumu.co.jp/dl/?filename=n_catalog_partition01_en.pdf&amp;type=application/pdf" TargetMode="External"/><Relationship Id="rId35" Type="http://schemas.openxmlformats.org/officeDocument/2006/relationships/hyperlink" Target="https://www.digikey.com/en/products/detail/susumu/RL1220S-R20-F/432484" TargetMode="External"/><Relationship Id="rId8" Type="http://schemas.openxmlformats.org/officeDocument/2006/relationships/hyperlink" Target="https://www.digikey.com/en/products/detail/nichicon/UWT1V101MCL1GS/589944" TargetMode="External"/><Relationship Id="rId3" Type="http://schemas.openxmlformats.org/officeDocument/2006/relationships/hyperlink" Target="https://www.digikey.com/en/products/detail/samsung-electro-mechanics/CL21A106KAYNNNG/3894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pane xSplit="7" ySplit="6" topLeftCell="H9" activePane="bottomRight" state="frozen"/>
      <selection pane="topRight" activeCell="H1" sqref="H1"/>
      <selection pane="bottomLeft" activeCell="A7" sqref="A7"/>
      <selection pane="bottomRight" activeCell="D14" sqref="D14"/>
    </sheetView>
  </sheetViews>
  <sheetFormatPr defaultRowHeight="14.6" outlineLevelCol="3" x14ac:dyDescent="0.4"/>
  <cols>
    <col min="1" max="1" width="17.69140625" customWidth="1"/>
    <col min="2" max="2" width="11.69140625" customWidth="1"/>
    <col min="3" max="3" width="12.69140625" customWidth="1" outlineLevel="2"/>
    <col min="4" max="4" width="23.921875" customWidth="1" outlineLevel="1"/>
    <col min="5" max="5" width="9.23046875" customWidth="1" outlineLevel="1"/>
    <col min="6" max="6" width="22.69140625" customWidth="1"/>
    <col min="7" max="7" width="16.69140625" customWidth="1"/>
    <col min="8" max="8" width="9.69140625" customWidth="1" outlineLevel="1"/>
    <col min="9" max="9" width="9.23046875" customWidth="1" outlineLevel="2"/>
    <col min="10" max="10" width="10.69140625" customWidth="1" outlineLevel="2"/>
    <col min="11" max="11" width="9.23046875" customWidth="1" outlineLevel="3" collapsed="1"/>
    <col min="12" max="12" width="16.69140625" customWidth="1"/>
    <col min="13" max="13" width="26.69140625" customWidth="1" outlineLevel="2"/>
  </cols>
  <sheetData>
    <row r="1" spans="1:13" ht="16.75" x14ac:dyDescent="0.45">
      <c r="A1" s="1" t="s">
        <v>80</v>
      </c>
      <c r="B1" s="2" t="s">
        <v>81</v>
      </c>
      <c r="F1" s="3" t="s">
        <v>85</v>
      </c>
      <c r="G1" s="3">
        <v>1</v>
      </c>
    </row>
    <row r="2" spans="1:13" ht="16.75" x14ac:dyDescent="0.4">
      <c r="A2" s="1" t="s">
        <v>82</v>
      </c>
      <c r="B2" s="2"/>
      <c r="F2" s="1" t="s">
        <v>87</v>
      </c>
      <c r="G2" s="4">
        <f>TotalCost/BoardQty</f>
        <v>19.260000000000009</v>
      </c>
    </row>
    <row r="3" spans="1:13" ht="16.75" x14ac:dyDescent="0.4">
      <c r="A3" s="1" t="s">
        <v>83</v>
      </c>
      <c r="B3" s="2" t="s">
        <v>84</v>
      </c>
      <c r="F3" s="1" t="s">
        <v>86</v>
      </c>
      <c r="G3" s="5">
        <f>SUM(G7:G27)</f>
        <v>19.260000000000009</v>
      </c>
      <c r="L3" s="5">
        <f>SUM(L7:L27)</f>
        <v>19.260000000000009</v>
      </c>
      <c r="M3" s="6" t="str">
        <f>(COUNTA(L7:L27)&amp;" of "&amp;ROWS(L7:L27)&amp;" parts found")</f>
        <v>21 of 21 parts found</v>
      </c>
    </row>
    <row r="4" spans="1:13" ht="16.75" x14ac:dyDescent="0.4">
      <c r="A4" s="1" t="s">
        <v>88</v>
      </c>
      <c r="B4" s="2" t="s">
        <v>89</v>
      </c>
    </row>
    <row r="5" spans="1:13" ht="18.45" x14ac:dyDescent="0.4">
      <c r="A5" s="14" t="s">
        <v>0</v>
      </c>
      <c r="B5" s="14"/>
      <c r="C5" s="14"/>
      <c r="D5" s="14"/>
      <c r="E5" s="14"/>
      <c r="F5" s="14"/>
      <c r="G5" s="14"/>
      <c r="H5" s="15" t="s">
        <v>50</v>
      </c>
      <c r="I5" s="15"/>
      <c r="J5" s="15"/>
      <c r="K5" s="15"/>
      <c r="L5" s="15"/>
      <c r="M5" s="15"/>
    </row>
    <row r="6" spans="1:13" ht="15.9" x14ac:dyDescent="0.4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51</v>
      </c>
      <c r="I6" s="7" t="s">
        <v>52</v>
      </c>
      <c r="J6" s="7" t="s">
        <v>6</v>
      </c>
      <c r="K6" s="7" t="s">
        <v>53</v>
      </c>
      <c r="L6" s="7" t="s">
        <v>7</v>
      </c>
      <c r="M6" s="7" t="s">
        <v>54</v>
      </c>
    </row>
    <row r="7" spans="1:13" x14ac:dyDescent="0.4">
      <c r="A7" s="8" t="s">
        <v>8</v>
      </c>
      <c r="B7" s="8" t="s">
        <v>9</v>
      </c>
      <c r="C7" s="8" t="s">
        <v>9</v>
      </c>
      <c r="D7" s="8" t="s">
        <v>10</v>
      </c>
      <c r="E7" s="8">
        <f>CEILING(BoardQty*3,1)</f>
        <v>3</v>
      </c>
      <c r="F7" s="9">
        <f t="shared" ref="F7:F27" si="0">IF(MIN(J7)&lt;&gt;0,MIN(J7),"")</f>
        <v>0.08</v>
      </c>
      <c r="G7" s="10">
        <f t="shared" ref="G7:G27" si="1">IF(AND(ISNUMBER(E7),ISNUMBER(F7)),E7*F7,"")</f>
        <v>0.24</v>
      </c>
      <c r="H7" s="8">
        <v>3599108</v>
      </c>
      <c r="I7" s="8"/>
      <c r="J7" s="9">
        <f>IFERROR(IF(OR(I7&gt;=K7,E7&gt;=K7),LOOKUP(IF(I7="",E7,I7),{0,1,10},{0,0.08,0.006}),"MOQ="&amp;K7),"")</f>
        <v>0.08</v>
      </c>
      <c r="K7" s="8">
        <v>1</v>
      </c>
      <c r="L7" s="10">
        <f t="shared" ref="L7:L27" si="2">IFERROR(IF(I7="",E7,I7)*J7,"")</f>
        <v>0.24</v>
      </c>
      <c r="M7" s="8" t="s">
        <v>55</v>
      </c>
    </row>
    <row r="8" spans="1:13" x14ac:dyDescent="0.4">
      <c r="A8" s="8" t="s">
        <v>11</v>
      </c>
      <c r="B8" s="8" t="s">
        <v>9</v>
      </c>
      <c r="C8" s="8" t="s">
        <v>9</v>
      </c>
      <c r="D8" s="8" t="s">
        <v>12</v>
      </c>
      <c r="E8" s="8">
        <f>CEILING(BoardQty*1,1)</f>
        <v>1</v>
      </c>
      <c r="F8" s="9">
        <f t="shared" si="0"/>
        <v>0.15</v>
      </c>
      <c r="G8" s="10">
        <f t="shared" si="1"/>
        <v>0.15</v>
      </c>
      <c r="H8" s="8">
        <v>386143</v>
      </c>
      <c r="I8" s="8"/>
      <c r="J8" s="9">
        <f>IFERROR(IF(OR(I8&gt;=K8,E8&gt;=K8),LOOKUP(IF(I8="",E8,I8),{0,1,10,50,100,500,1000},{0,0.15,0.084,0.0586,0.0511,0.03834,0.03442}),"MOQ="&amp;K8),"")</f>
        <v>0.15</v>
      </c>
      <c r="K8" s="8">
        <v>1</v>
      </c>
      <c r="L8" s="10">
        <f t="shared" si="2"/>
        <v>0.15</v>
      </c>
      <c r="M8" s="8" t="s">
        <v>56</v>
      </c>
    </row>
    <row r="9" spans="1:13" ht="15.9" customHeight="1" x14ac:dyDescent="0.4">
      <c r="A9" s="8" t="s">
        <v>13</v>
      </c>
      <c r="B9" s="8" t="s">
        <v>9</v>
      </c>
      <c r="C9" s="8" t="s">
        <v>9</v>
      </c>
      <c r="D9" s="8" t="s">
        <v>14</v>
      </c>
      <c r="E9" s="8">
        <f>CEILING(BoardQty*5,1)</f>
        <v>5</v>
      </c>
      <c r="F9" s="9">
        <f t="shared" si="0"/>
        <v>0.08</v>
      </c>
      <c r="G9" s="10">
        <f t="shared" si="1"/>
        <v>0.4</v>
      </c>
      <c r="H9" s="8">
        <v>5222574</v>
      </c>
      <c r="I9" s="8"/>
      <c r="J9" s="9">
        <f>IFERROR(IF(OR(I9&gt;=K9,E9&gt;=K9),LOOKUP(IF(I9="",E9,I9),{0,1,10},{0,0.08,0.016}),"MOQ="&amp;K9),"")</f>
        <v>0.08</v>
      </c>
      <c r="K9" s="8">
        <v>1</v>
      </c>
      <c r="L9" s="10">
        <f t="shared" si="2"/>
        <v>0.4</v>
      </c>
      <c r="M9" s="8" t="s">
        <v>57</v>
      </c>
    </row>
    <row r="10" spans="1:13" x14ac:dyDescent="0.4">
      <c r="A10" s="8" t="s">
        <v>15</v>
      </c>
      <c r="B10" s="8" t="s">
        <v>9</v>
      </c>
      <c r="C10" s="8" t="s">
        <v>9</v>
      </c>
      <c r="D10" s="8" t="s">
        <v>16</v>
      </c>
      <c r="E10" s="8">
        <f>CEILING(BoardQty*1,1)</f>
        <v>1</v>
      </c>
      <c r="F10" s="9">
        <f t="shared" si="0"/>
        <v>0.1</v>
      </c>
      <c r="G10" s="10">
        <f t="shared" si="1"/>
        <v>0.1</v>
      </c>
      <c r="H10" s="8">
        <v>124315</v>
      </c>
      <c r="I10" s="8"/>
      <c r="J10" s="9">
        <f>IFERROR(IF(OR(I10&gt;=K10,E10&gt;=K10),LOOKUP(IF(I10="",E10,I10),{0,1,10,50,100,500,1000},{0,0.1,0.037,0.0252,0.0216,0.01552,0.01365}),"MOQ="&amp;K10),"")</f>
        <v>0.1</v>
      </c>
      <c r="K10" s="8">
        <v>1</v>
      </c>
      <c r="L10" s="10">
        <f t="shared" si="2"/>
        <v>0.1</v>
      </c>
      <c r="M10" s="8" t="s">
        <v>58</v>
      </c>
    </row>
    <row r="11" spans="1:13" ht="16.75" customHeight="1" x14ac:dyDescent="0.4">
      <c r="A11" s="8" t="s">
        <v>17</v>
      </c>
      <c r="B11" s="8" t="s">
        <v>9</v>
      </c>
      <c r="C11" s="8" t="s">
        <v>9</v>
      </c>
      <c r="D11" s="8" t="s">
        <v>18</v>
      </c>
      <c r="E11" s="8">
        <f>CEILING(BoardQty*1,1)</f>
        <v>1</v>
      </c>
      <c r="F11" s="9">
        <f t="shared" si="0"/>
        <v>0.41</v>
      </c>
      <c r="G11" s="10">
        <f t="shared" si="1"/>
        <v>0.41</v>
      </c>
      <c r="H11" s="8">
        <v>235740</v>
      </c>
      <c r="I11" s="8"/>
      <c r="J11" s="9">
        <f>IFERROR(IF(OR(I11&gt;=K11,E11&gt;=K11),LOOKUP(IF(I11="",E11,I11),{0,1,10,50,100},{0,0.41,0.249,0.1832,0.1621}),"MOQ="&amp;K11),"")</f>
        <v>0.41</v>
      </c>
      <c r="K11" s="8">
        <v>1</v>
      </c>
      <c r="L11" s="10">
        <f t="shared" si="2"/>
        <v>0.41</v>
      </c>
      <c r="M11" s="8" t="s">
        <v>59</v>
      </c>
    </row>
    <row r="12" spans="1:13" ht="14.15" customHeight="1" x14ac:dyDescent="0.4">
      <c r="A12" s="8" t="s">
        <v>19</v>
      </c>
      <c r="B12" s="8" t="s">
        <v>9</v>
      </c>
      <c r="C12" s="8" t="s">
        <v>9</v>
      </c>
      <c r="D12" s="8" t="s">
        <v>20</v>
      </c>
      <c r="E12" s="8">
        <f>CEILING(BoardQty*2,1)</f>
        <v>2</v>
      </c>
      <c r="F12" s="9">
        <f t="shared" si="0"/>
        <v>1.1299999999999999</v>
      </c>
      <c r="G12" s="10">
        <f t="shared" si="1"/>
        <v>2.2599999999999998</v>
      </c>
      <c r="H12" s="8">
        <v>71246</v>
      </c>
      <c r="I12" s="8"/>
      <c r="J12" s="9">
        <f>IFERROR(IF(OR(I12&gt;=K12,E12&gt;=K12),LOOKUP(IF(I12="",E12,I12),{0,1,10,50,100,500,1000},{0,1.13,0.706,0.572,0.5234,0.44132,0.41594}),"MOQ="&amp;K12),"")</f>
        <v>1.1299999999999999</v>
      </c>
      <c r="K12" s="8">
        <v>1</v>
      </c>
      <c r="L12" s="10">
        <f t="shared" si="2"/>
        <v>2.2599999999999998</v>
      </c>
      <c r="M12" s="8" t="s">
        <v>60</v>
      </c>
    </row>
    <row r="13" spans="1:13" x14ac:dyDescent="0.4">
      <c r="A13" s="8" t="s">
        <v>21</v>
      </c>
      <c r="B13" s="8" t="s">
        <v>9</v>
      </c>
      <c r="C13" s="8" t="s">
        <v>9</v>
      </c>
      <c r="D13" s="8" t="s">
        <v>22</v>
      </c>
      <c r="E13" s="8">
        <f>CEILING(BoardQty*1,1)</f>
        <v>1</v>
      </c>
      <c r="F13" s="9" t="str">
        <f t="shared" si="0"/>
        <v/>
      </c>
      <c r="G13" s="10" t="str">
        <f t="shared" si="1"/>
        <v/>
      </c>
      <c r="H13" s="11" t="s">
        <v>62</v>
      </c>
      <c r="I13" s="8"/>
      <c r="J13" s="9" t="str">
        <f>IFERROR(IF(OR(I13&gt;=K13,E13&gt;=K13),LOOKUP(IF(I13="",E13,I13),{0,1,2500},{0,0.07324,0.07324}),"MOQ="&amp;K13),"")</f>
        <v>MOQ=2500</v>
      </c>
      <c r="K13" s="8">
        <v>2500</v>
      </c>
      <c r="L13" s="10" t="str">
        <f t="shared" si="2"/>
        <v/>
      </c>
      <c r="M13" s="8" t="s">
        <v>61</v>
      </c>
    </row>
    <row r="14" spans="1:13" x14ac:dyDescent="0.4">
      <c r="A14" s="8" t="s">
        <v>23</v>
      </c>
      <c r="B14" s="8" t="s">
        <v>9</v>
      </c>
      <c r="C14" s="8" t="s">
        <v>9</v>
      </c>
      <c r="D14" s="8" t="s">
        <v>24</v>
      </c>
      <c r="E14" s="8">
        <f>CEILING(BoardQty*1,1)</f>
        <v>1</v>
      </c>
      <c r="F14" s="9">
        <f t="shared" si="0"/>
        <v>0.56000000000000005</v>
      </c>
      <c r="G14" s="10">
        <f t="shared" si="1"/>
        <v>0.56000000000000005</v>
      </c>
      <c r="H14" s="8">
        <v>12238</v>
      </c>
      <c r="I14" s="8"/>
      <c r="J14" s="9">
        <f>IFERROR(IF(OR(I14&gt;=K14,E14&gt;=K14),LOOKUP(IF(I14="",E14,I14),{0,1,10,25,100,250,500,1000},{0,0.56,0.393,0.352,0.3066,0.28496,0.27188,0.26111}),"MOQ="&amp;K14),"")</f>
        <v>0.56000000000000005</v>
      </c>
      <c r="K14" s="8">
        <v>1</v>
      </c>
      <c r="L14" s="10">
        <f t="shared" si="2"/>
        <v>0.56000000000000005</v>
      </c>
      <c r="M14" s="8" t="s">
        <v>63</v>
      </c>
    </row>
    <row r="15" spans="1:13" x14ac:dyDescent="0.4">
      <c r="A15" s="8" t="s">
        <v>25</v>
      </c>
      <c r="B15" s="8" t="s">
        <v>9</v>
      </c>
      <c r="C15" s="8" t="s">
        <v>9</v>
      </c>
      <c r="D15" s="8" t="s">
        <v>26</v>
      </c>
      <c r="E15" s="8">
        <f>CEILING(BoardQty*2,1)</f>
        <v>2</v>
      </c>
      <c r="F15" s="9">
        <f t="shared" si="0"/>
        <v>1.51</v>
      </c>
      <c r="G15" s="10">
        <f t="shared" si="1"/>
        <v>3.02</v>
      </c>
      <c r="H15" s="8">
        <v>3151</v>
      </c>
      <c r="I15" s="8"/>
      <c r="J15" s="9">
        <f>IFERROR(IF(OR(I15&gt;=K15,E15&gt;=K15),LOOKUP(IF(I15="",E15,I15),{0,1,10,25,100,250,500,1000},{0,1.51,1.104,1.002,0.8896,0.83612,0.80388,0.77733}),"MOQ="&amp;K15),"")</f>
        <v>1.51</v>
      </c>
      <c r="K15" s="8">
        <v>1</v>
      </c>
      <c r="L15" s="10">
        <f t="shared" si="2"/>
        <v>3.02</v>
      </c>
      <c r="M15" s="8" t="s">
        <v>64</v>
      </c>
    </row>
    <row r="16" spans="1:13" x14ac:dyDescent="0.4">
      <c r="A16" s="8" t="s">
        <v>27</v>
      </c>
      <c r="B16" s="8" t="s">
        <v>9</v>
      </c>
      <c r="C16" s="8" t="s">
        <v>9</v>
      </c>
      <c r="D16" s="8" t="s">
        <v>28</v>
      </c>
      <c r="E16" s="8">
        <f>CEILING(BoardQty*5,1)</f>
        <v>5</v>
      </c>
      <c r="F16" s="9">
        <f t="shared" si="0"/>
        <v>0.86</v>
      </c>
      <c r="G16" s="10">
        <f t="shared" si="1"/>
        <v>4.3</v>
      </c>
      <c r="H16" s="8">
        <v>12408</v>
      </c>
      <c r="I16" s="8"/>
      <c r="J16" s="9">
        <f>IFERROR(IF(OR(I16&gt;=K16,E16&gt;=K16),LOOKUP(IF(I16="",E16,I16),{0,1,10,25,50,100},{0,0.86,0.624,0.5436,0.5164,0.4631}),"MOQ="&amp;K16),"")</f>
        <v>0.86</v>
      </c>
      <c r="K16" s="8">
        <v>1</v>
      </c>
      <c r="L16" s="10">
        <f t="shared" si="2"/>
        <v>4.3</v>
      </c>
      <c r="M16" s="8" t="s">
        <v>65</v>
      </c>
    </row>
    <row r="17" spans="1:13" x14ac:dyDescent="0.4">
      <c r="A17" s="8" t="s">
        <v>29</v>
      </c>
      <c r="B17" s="8" t="s">
        <v>9</v>
      </c>
      <c r="C17" s="8" t="s">
        <v>9</v>
      </c>
      <c r="D17" s="8" t="s">
        <v>30</v>
      </c>
      <c r="E17" s="8">
        <f t="shared" ref="E17:E25" si="3">CEILING(BoardQty*1,1)</f>
        <v>1</v>
      </c>
      <c r="F17" s="9">
        <f t="shared" si="0"/>
        <v>3.57</v>
      </c>
      <c r="G17" s="10">
        <f t="shared" si="1"/>
        <v>3.57</v>
      </c>
      <c r="H17" s="11" t="s">
        <v>62</v>
      </c>
      <c r="I17" s="8"/>
      <c r="J17" s="9">
        <f>IFERROR(IF(OR(I17&gt;=K17,E17&gt;=K17),LOOKUP(IF(I17="",E17,I17),{0,1,10,100,500},{0,3.57,3.031,2.5761,2.38658}),"MOQ="&amp;K17),"")</f>
        <v>3.57</v>
      </c>
      <c r="K17" s="8">
        <v>1</v>
      </c>
      <c r="L17" s="10">
        <f t="shared" si="2"/>
        <v>3.57</v>
      </c>
      <c r="M17" s="8" t="s">
        <v>66</v>
      </c>
    </row>
    <row r="18" spans="1:13" x14ac:dyDescent="0.4">
      <c r="A18" s="8" t="s">
        <v>31</v>
      </c>
      <c r="B18" s="8" t="s">
        <v>9</v>
      </c>
      <c r="C18" s="8" t="s">
        <v>9</v>
      </c>
      <c r="D18" s="8" t="s">
        <v>32</v>
      </c>
      <c r="E18" s="8">
        <f t="shared" si="3"/>
        <v>1</v>
      </c>
      <c r="F18" s="9">
        <f t="shared" si="0"/>
        <v>0.56999999999999995</v>
      </c>
      <c r="G18" s="10">
        <f t="shared" si="1"/>
        <v>0.56999999999999995</v>
      </c>
      <c r="H18" s="8">
        <v>11923</v>
      </c>
      <c r="I18" s="8"/>
      <c r="J18" s="9">
        <f>IFERROR(IF(OR(I18&gt;=K18,E18&gt;=K18),LOOKUP(IF(I18="",E18,I18),{0,1,10,100,500,1000,5000,10000},{0,0.57,0.486,0.4127,0.36836,0.35076,0.31311,0.299}),"MOQ="&amp;K18),"")</f>
        <v>0.56999999999999995</v>
      </c>
      <c r="K18" s="8">
        <v>1</v>
      </c>
      <c r="L18" s="10">
        <f t="shared" si="2"/>
        <v>0.56999999999999995</v>
      </c>
      <c r="M18" s="8" t="s">
        <v>67</v>
      </c>
    </row>
    <row r="19" spans="1:13" x14ac:dyDescent="0.4">
      <c r="A19" s="8" t="s">
        <v>33</v>
      </c>
      <c r="B19" s="8" t="s">
        <v>9</v>
      </c>
      <c r="C19" s="8" t="s">
        <v>9</v>
      </c>
      <c r="D19" s="8" t="s">
        <v>34</v>
      </c>
      <c r="E19" s="8">
        <f t="shared" si="3"/>
        <v>1</v>
      </c>
      <c r="F19" s="9">
        <f t="shared" si="0"/>
        <v>1.94</v>
      </c>
      <c r="G19" s="10">
        <f t="shared" si="1"/>
        <v>1.94</v>
      </c>
      <c r="H19" s="8">
        <v>1841</v>
      </c>
      <c r="I19" s="8"/>
      <c r="J19" s="9">
        <f>IFERROR(IF(OR(I19&gt;=K19,E19&gt;=K19),LOOKUP(IF(I19="",E19,I19),{0,1,10,50,100,500},{0,1.94,1.898,1.815,1.672,1.541}),"MOQ="&amp;K19),"")</f>
        <v>1.94</v>
      </c>
      <c r="K19" s="8">
        <v>1</v>
      </c>
      <c r="L19" s="10">
        <f t="shared" si="2"/>
        <v>1.94</v>
      </c>
      <c r="M19" s="8" t="s">
        <v>68</v>
      </c>
    </row>
    <row r="20" spans="1:13" x14ac:dyDescent="0.4">
      <c r="A20" s="8" t="s">
        <v>91</v>
      </c>
      <c r="B20" s="8" t="s">
        <v>9</v>
      </c>
      <c r="C20" s="8" t="s">
        <v>9</v>
      </c>
      <c r="D20" s="8" t="s">
        <v>35</v>
      </c>
      <c r="E20" s="8">
        <f t="shared" si="3"/>
        <v>1</v>
      </c>
      <c r="F20" s="9">
        <f t="shared" si="0"/>
        <v>0.37</v>
      </c>
      <c r="G20" s="10">
        <f t="shared" si="1"/>
        <v>0.37</v>
      </c>
      <c r="H20" s="8">
        <v>47397</v>
      </c>
      <c r="I20" s="8"/>
      <c r="J20" s="9">
        <f>IFERROR(IF(OR(I20&gt;=K20,E20&gt;=K20),LOOKUP(IF(I20="",E20,I20),{0,1,10,100,500,1000},{0,0.37,0.228,0.143,0.10622,0.09431}),"MOQ="&amp;K20),"")</f>
        <v>0.37</v>
      </c>
      <c r="K20" s="8">
        <v>1</v>
      </c>
      <c r="L20" s="10">
        <f t="shared" si="2"/>
        <v>0.37</v>
      </c>
      <c r="M20" s="8" t="s">
        <v>69</v>
      </c>
    </row>
    <row r="21" spans="1:13" x14ac:dyDescent="0.4">
      <c r="A21" s="8" t="s">
        <v>36</v>
      </c>
      <c r="B21" s="8" t="s">
        <v>9</v>
      </c>
      <c r="C21" s="8" t="s">
        <v>9</v>
      </c>
      <c r="D21" s="8" t="s">
        <v>37</v>
      </c>
      <c r="E21" s="8">
        <f t="shared" si="3"/>
        <v>1</v>
      </c>
      <c r="F21" s="9">
        <f t="shared" si="0"/>
        <v>0.19</v>
      </c>
      <c r="G21" s="10">
        <f t="shared" si="1"/>
        <v>0.19</v>
      </c>
      <c r="H21" s="8">
        <v>18574</v>
      </c>
      <c r="I21" s="8"/>
      <c r="J21" s="9">
        <f>IFERROR(IF(OR(I21&gt;=K21,E21&gt;=K21),LOOKUP(IF(I21="",E21,I21),{0,1,10,100,500,1000},{0,0.19,0.119,0.1041,0.0766,0.06768}),"MOQ="&amp;K21),"")</f>
        <v>0.19</v>
      </c>
      <c r="K21" s="8">
        <v>1</v>
      </c>
      <c r="L21" s="10">
        <f t="shared" si="2"/>
        <v>0.19</v>
      </c>
      <c r="M21" s="8" t="s">
        <v>70</v>
      </c>
    </row>
    <row r="22" spans="1:13" x14ac:dyDescent="0.4">
      <c r="A22" s="8" t="s">
        <v>38</v>
      </c>
      <c r="B22" s="8" t="s">
        <v>9</v>
      </c>
      <c r="C22" s="8" t="s">
        <v>9</v>
      </c>
      <c r="D22" s="8" t="s">
        <v>39</v>
      </c>
      <c r="E22" s="8">
        <f t="shared" si="3"/>
        <v>1</v>
      </c>
      <c r="F22" s="9">
        <f t="shared" si="0"/>
        <v>0.1</v>
      </c>
      <c r="G22" s="10">
        <f t="shared" si="1"/>
        <v>0.1</v>
      </c>
      <c r="H22" s="8">
        <v>1227152</v>
      </c>
      <c r="I22" s="8"/>
      <c r="J22" s="9">
        <f>IFERROR(IF(OR(I22&gt;=K22,E22&gt;=K22),LOOKUP(IF(I22="",E22,I22),{0,1,10,25,50,100,250,500,1000},{0,0.1,0.035,0.026,0.0214,0.0176,0.01392,0.0118,0.01014}),"MOQ="&amp;K22),"")</f>
        <v>0.1</v>
      </c>
      <c r="K22" s="8">
        <v>1</v>
      </c>
      <c r="L22" s="10">
        <f t="shared" si="2"/>
        <v>0.1</v>
      </c>
      <c r="M22" s="8" t="s">
        <v>71</v>
      </c>
    </row>
    <row r="23" spans="1:13" x14ac:dyDescent="0.4">
      <c r="A23" s="8" t="s">
        <v>40</v>
      </c>
      <c r="B23" s="8" t="s">
        <v>9</v>
      </c>
      <c r="C23" s="8" t="s">
        <v>9</v>
      </c>
      <c r="D23" s="8" t="s">
        <v>41</v>
      </c>
      <c r="E23" s="8">
        <f t="shared" si="3"/>
        <v>1</v>
      </c>
      <c r="F23" s="9">
        <f t="shared" si="0"/>
        <v>0.1</v>
      </c>
      <c r="G23" s="10">
        <f t="shared" si="1"/>
        <v>0.1</v>
      </c>
      <c r="H23" s="8">
        <v>58878</v>
      </c>
      <c r="I23" s="8"/>
      <c r="J23" s="9">
        <f>IFERROR(IF(OR(I23&gt;=K23,E23&gt;=K23),LOOKUP(IF(I23="",E23,I23),{0,1,10,25,50,100,250,500,1000},{0,0.1,0.037,0.0276,0.0226,0.0187,0.0148,0.01258,0.01084}),"MOQ="&amp;K23),"")</f>
        <v>0.1</v>
      </c>
      <c r="K23" s="8">
        <v>1</v>
      </c>
      <c r="L23" s="10">
        <f t="shared" si="2"/>
        <v>0.1</v>
      </c>
      <c r="M23" s="8" t="s">
        <v>72</v>
      </c>
    </row>
    <row r="24" spans="1:13" x14ac:dyDescent="0.4">
      <c r="A24" s="8" t="s">
        <v>42</v>
      </c>
      <c r="B24" s="8" t="s">
        <v>9</v>
      </c>
      <c r="C24" s="8" t="s">
        <v>9</v>
      </c>
      <c r="D24" s="8" t="s">
        <v>43</v>
      </c>
      <c r="E24" s="8">
        <f t="shared" si="3"/>
        <v>1</v>
      </c>
      <c r="F24" s="9">
        <f t="shared" si="0"/>
        <v>0.1</v>
      </c>
      <c r="G24" s="10">
        <f t="shared" si="1"/>
        <v>0.1</v>
      </c>
      <c r="H24" s="8">
        <v>130853</v>
      </c>
      <c r="I24" s="8"/>
      <c r="J24" s="9">
        <f>IFERROR(IF(OR(I24&gt;=K24,E24&gt;=K24),LOOKUP(IF(I24="",E24,I24),{0,1,10,25,50,100,250,500,1000},{0,0.1,0.08,0.0744,0.0704,0.0664,0.06164,0.05832,0.0553}),"MOQ="&amp;K24),"")</f>
        <v>0.1</v>
      </c>
      <c r="K24" s="8">
        <v>1</v>
      </c>
      <c r="L24" s="10">
        <f t="shared" si="2"/>
        <v>0.1</v>
      </c>
      <c r="M24" s="8" t="s">
        <v>73</v>
      </c>
    </row>
    <row r="25" spans="1:13" x14ac:dyDescent="0.4">
      <c r="A25" s="8" t="s">
        <v>44</v>
      </c>
      <c r="B25" s="8" t="s">
        <v>9</v>
      </c>
      <c r="C25" s="8" t="s">
        <v>9</v>
      </c>
      <c r="D25" s="8" t="s">
        <v>45</v>
      </c>
      <c r="E25" s="8">
        <f t="shared" si="3"/>
        <v>1</v>
      </c>
      <c r="F25" s="9">
        <f t="shared" si="0"/>
        <v>0.1</v>
      </c>
      <c r="G25" s="10">
        <f t="shared" si="1"/>
        <v>0.1</v>
      </c>
      <c r="H25" s="8">
        <v>201092</v>
      </c>
      <c r="I25" s="8"/>
      <c r="J25" s="9">
        <f>IFERROR(IF(OR(I25&gt;=K25,E25&gt;=K25),LOOKUP(IF(I25="",E25,I25),{0,1,10,25,50},{0,0.1,0.01,0.0092,0.0082}),"MOQ="&amp;K25),"")</f>
        <v>0.1</v>
      </c>
      <c r="K25" s="8">
        <v>1</v>
      </c>
      <c r="L25" s="10">
        <f t="shared" si="2"/>
        <v>0.1</v>
      </c>
      <c r="M25" s="8" t="s">
        <v>74</v>
      </c>
    </row>
    <row r="26" spans="1:13" x14ac:dyDescent="0.4">
      <c r="A26" s="8" t="s">
        <v>46</v>
      </c>
      <c r="B26" s="8" t="s">
        <v>9</v>
      </c>
      <c r="C26" s="8" t="s">
        <v>9</v>
      </c>
      <c r="D26" s="8" t="s">
        <v>47</v>
      </c>
      <c r="E26" s="8">
        <f>CEILING(BoardQty*2,1)</f>
        <v>2</v>
      </c>
      <c r="F26" s="9">
        <f t="shared" si="0"/>
        <v>0.17</v>
      </c>
      <c r="G26" s="10">
        <f t="shared" si="1"/>
        <v>0.34</v>
      </c>
      <c r="H26" s="8">
        <v>243936</v>
      </c>
      <c r="I26" s="8"/>
      <c r="J26" s="9">
        <f>IFERROR(IF(OR(I26&gt;=K26,E26&gt;=K26),LOOKUP(IF(I26="",E26,I26),{0,1,10,25,50,100,250,500,1000},{0,0.17,0.109,0.0912,0.0804,0.0712,0.061,0.05462,0.04918}),"MOQ="&amp;K26),"")</f>
        <v>0.17</v>
      </c>
      <c r="K26" s="8">
        <v>1</v>
      </c>
      <c r="L26" s="10">
        <f t="shared" si="2"/>
        <v>0.34</v>
      </c>
      <c r="M26" s="8" t="s">
        <v>75</v>
      </c>
    </row>
    <row r="27" spans="1:13" x14ac:dyDescent="0.4">
      <c r="A27" s="8" t="s">
        <v>48</v>
      </c>
      <c r="B27" s="8" t="s">
        <v>9</v>
      </c>
      <c r="C27" s="8" t="s">
        <v>9</v>
      </c>
      <c r="D27" s="8" t="s">
        <v>49</v>
      </c>
      <c r="E27" s="8">
        <f>CEILING(BoardQty*1,1)</f>
        <v>1</v>
      </c>
      <c r="F27" s="9">
        <f t="shared" si="0"/>
        <v>0.44</v>
      </c>
      <c r="G27" s="10">
        <f t="shared" si="1"/>
        <v>0.44</v>
      </c>
      <c r="H27" s="8">
        <v>63044</v>
      </c>
      <c r="I27" s="8"/>
      <c r="J27" s="9">
        <f>IFERROR(IF(OR(I27&gt;=K27,E27&gt;=K27),LOOKUP(IF(I27="",E27,I27),{0,1,10,25,50,100,250,500,1000,2500},{0,0.44,0.37,0.3464,0.3298,0.3141,0.29436,0.28028,0.26689,0.25017}),"MOQ="&amp;K27),"")</f>
        <v>0.44</v>
      </c>
      <c r="K27" s="8">
        <v>1</v>
      </c>
      <c r="L27" s="10">
        <f t="shared" si="2"/>
        <v>0.44</v>
      </c>
      <c r="M27" s="8" t="s">
        <v>76</v>
      </c>
    </row>
    <row r="29" spans="1:13" ht="16.75" x14ac:dyDescent="0.4">
      <c r="F29" s="1" t="s">
        <v>78</v>
      </c>
      <c r="G29" s="5">
        <f>SUM(L29)</f>
        <v>0</v>
      </c>
      <c r="H29" s="12" t="s">
        <v>77</v>
      </c>
      <c r="I29" s="6" t="str">
        <f>IFERROR(IF(COUNTIF(I7:I27,"&gt;0")&gt;0,COUNTIF(I7:I27,"&gt;0")&amp;" of "&amp;(ROWS(K7:K27)-COUNTBLANK(K7:K27))&amp;" parts purchased",""),"")</f>
        <v/>
      </c>
      <c r="L29" s="5">
        <f>SUMIF(I7:I27,"&gt;0",L7:L27)</f>
        <v>0</v>
      </c>
    </row>
    <row r="30" spans="1:13" ht="15.9" x14ac:dyDescent="0.4">
      <c r="A30" s="2" t="s">
        <v>90</v>
      </c>
      <c r="F30" s="13" t="s">
        <v>79</v>
      </c>
      <c r="I30" s="16" t="e">
        <f>CONCATENATE(I54,I55,I56,I57,I58,I59,I60,I61,I62,I63,I64,I65,I66,I67,I68,I69,I70,I71,I72,I73,I74,I75,I76)</f>
        <v>#N/A</v>
      </c>
      <c r="J30" s="17"/>
      <c r="K30" s="17"/>
      <c r="L30" s="17"/>
    </row>
    <row r="31" spans="1:13" x14ac:dyDescent="0.4">
      <c r="I31" s="17"/>
      <c r="J31" s="17"/>
      <c r="K31" s="17"/>
      <c r="L31" s="17"/>
    </row>
    <row r="32" spans="1:13" x14ac:dyDescent="0.4">
      <c r="I32" s="17"/>
      <c r="J32" s="17"/>
      <c r="K32" s="17"/>
      <c r="L32" s="17"/>
    </row>
    <row r="33" spans="9:12" x14ac:dyDescent="0.4">
      <c r="I33" s="17"/>
      <c r="J33" s="17"/>
      <c r="K33" s="17"/>
      <c r="L33" s="17"/>
    </row>
    <row r="34" spans="9:12" x14ac:dyDescent="0.4">
      <c r="I34" s="17"/>
      <c r="J34" s="17"/>
      <c r="K34" s="17"/>
      <c r="L34" s="17"/>
    </row>
    <row r="35" spans="9:12" x14ac:dyDescent="0.4">
      <c r="I35" s="17"/>
      <c r="J35" s="17"/>
      <c r="K35" s="17"/>
      <c r="L35" s="17"/>
    </row>
    <row r="36" spans="9:12" x14ac:dyDescent="0.4">
      <c r="I36" s="17"/>
      <c r="J36" s="17"/>
      <c r="K36" s="17"/>
      <c r="L36" s="17"/>
    </row>
    <row r="37" spans="9:12" x14ac:dyDescent="0.4">
      <c r="I37" s="17"/>
      <c r="J37" s="17"/>
      <c r="K37" s="17"/>
      <c r="L37" s="17"/>
    </row>
    <row r="38" spans="9:12" x14ac:dyDescent="0.4">
      <c r="I38" s="17"/>
      <c r="J38" s="17"/>
      <c r="K38" s="17"/>
      <c r="L38" s="17"/>
    </row>
    <row r="39" spans="9:12" x14ac:dyDescent="0.4">
      <c r="I39" s="17"/>
      <c r="J39" s="17"/>
      <c r="K39" s="17"/>
      <c r="L39" s="17"/>
    </row>
    <row r="40" spans="9:12" x14ac:dyDescent="0.4">
      <c r="I40" s="17"/>
      <c r="J40" s="17"/>
      <c r="K40" s="17"/>
      <c r="L40" s="17"/>
    </row>
    <row r="41" spans="9:12" x14ac:dyDescent="0.4">
      <c r="I41" s="17"/>
      <c r="J41" s="17"/>
      <c r="K41" s="17"/>
      <c r="L41" s="17"/>
    </row>
    <row r="42" spans="9:12" x14ac:dyDescent="0.4">
      <c r="I42" s="17"/>
      <c r="J42" s="17"/>
      <c r="K42" s="17"/>
      <c r="L42" s="17"/>
    </row>
    <row r="43" spans="9:12" x14ac:dyDescent="0.4">
      <c r="I43" s="17"/>
      <c r="J43" s="17"/>
      <c r="K43" s="17"/>
      <c r="L43" s="17"/>
    </row>
    <row r="44" spans="9:12" x14ac:dyDescent="0.4">
      <c r="I44" s="17"/>
      <c r="J44" s="17"/>
      <c r="K44" s="17"/>
      <c r="L44" s="17"/>
    </row>
    <row r="45" spans="9:12" x14ac:dyDescent="0.4">
      <c r="I45" s="17"/>
      <c r="J45" s="17"/>
      <c r="K45" s="17"/>
      <c r="L45" s="17"/>
    </row>
    <row r="46" spans="9:12" x14ac:dyDescent="0.4">
      <c r="I46" s="17"/>
      <c r="J46" s="17"/>
      <c r="K46" s="17"/>
      <c r="L46" s="17"/>
    </row>
    <row r="47" spans="9:12" x14ac:dyDescent="0.4">
      <c r="I47" s="17"/>
      <c r="J47" s="17"/>
      <c r="K47" s="17"/>
      <c r="L47" s="17"/>
    </row>
    <row r="48" spans="9:12" x14ac:dyDescent="0.4">
      <c r="I48" s="17"/>
      <c r="J48" s="17"/>
      <c r="K48" s="17"/>
      <c r="L48" s="17"/>
    </row>
    <row r="49" spans="9:12" x14ac:dyDescent="0.4">
      <c r="I49" s="17"/>
      <c r="J49" s="17"/>
      <c r="K49" s="17"/>
      <c r="L49" s="17"/>
    </row>
    <row r="50" spans="9:12" x14ac:dyDescent="0.4">
      <c r="I50" s="17"/>
      <c r="J50" s="17"/>
      <c r="K50" s="17"/>
      <c r="L50" s="17"/>
    </row>
    <row r="51" spans="9:12" x14ac:dyDescent="0.4">
      <c r="I51" s="17"/>
      <c r="J51" s="17"/>
      <c r="K51" s="17"/>
      <c r="L51" s="17"/>
    </row>
    <row r="52" spans="9:12" x14ac:dyDescent="0.4">
      <c r="I52" s="17"/>
      <c r="J52" s="17"/>
      <c r="K52" s="17"/>
      <c r="L52" s="17"/>
    </row>
    <row r="53" spans="9:12" x14ac:dyDescent="0.4">
      <c r="I53" s="17"/>
      <c r="J53" s="17"/>
      <c r="K53" s="17"/>
      <c r="L53" s="17"/>
    </row>
    <row r="54" spans="9:12" x14ac:dyDescent="0.4">
      <c r="I54" t="str">
        <f t="array" ref="I54:I76">IF(ISNUMBER(I7:I27)*(I7:I27&gt;=K7:K27)*(M7:M27&lt;&gt;""),TEXT(ROUNDUP(I7:I27/IF(ISNUMBER(K7:K27),K7:K27,1),0)*K7:K27,"##0")&amp;","&amp;M7:M27&amp;","&amp;SUBSTITUTE(SUBSTITUTE(IF(PURCHASE_DESCRIPTION&lt;&gt;"",PURCHASE_DESCRIPTION&amp;":","")&amp;A7:A27,",",";"),"
"," ")&amp;CHAR(10),"")</f>
        <v/>
      </c>
    </row>
    <row r="55" spans="9:12" x14ac:dyDescent="0.4">
      <c r="I55" t="str">
        <v/>
      </c>
    </row>
    <row r="56" spans="9:12" ht="30" hidden="1" customHeight="1" x14ac:dyDescent="0.4">
      <c r="I56" t="str">
        <v/>
      </c>
    </row>
    <row r="57" spans="9:12" ht="30" hidden="1" customHeight="1" x14ac:dyDescent="0.4">
      <c r="I57" t="str">
        <v/>
      </c>
    </row>
    <row r="58" spans="9:12" ht="30" hidden="1" customHeight="1" x14ac:dyDescent="0.4">
      <c r="I58" t="str">
        <v/>
      </c>
    </row>
    <row r="59" spans="9:12" ht="30" hidden="1" customHeight="1" x14ac:dyDescent="0.4">
      <c r="I59" t="str">
        <v/>
      </c>
    </row>
    <row r="60" spans="9:12" ht="30" hidden="1" customHeight="1" x14ac:dyDescent="0.4">
      <c r="I60" t="str">
        <v/>
      </c>
    </row>
    <row r="61" spans="9:12" ht="30" hidden="1" customHeight="1" x14ac:dyDescent="0.4">
      <c r="I61" t="str">
        <v/>
      </c>
    </row>
    <row r="62" spans="9:12" ht="30" hidden="1" customHeight="1" x14ac:dyDescent="0.4">
      <c r="I62" t="str">
        <v/>
      </c>
    </row>
    <row r="63" spans="9:12" ht="30" hidden="1" customHeight="1" x14ac:dyDescent="0.4">
      <c r="I63" t="str">
        <v/>
      </c>
    </row>
    <row r="64" spans="9:12" ht="30" hidden="1" customHeight="1" x14ac:dyDescent="0.4">
      <c r="I64" t="str">
        <v/>
      </c>
    </row>
    <row r="65" spans="9:9" ht="30" hidden="1" customHeight="1" x14ac:dyDescent="0.4">
      <c r="I65" t="str">
        <v/>
      </c>
    </row>
    <row r="66" spans="9:9" ht="30" hidden="1" customHeight="1" x14ac:dyDescent="0.4">
      <c r="I66" t="str">
        <v/>
      </c>
    </row>
    <row r="67" spans="9:9" ht="30" hidden="1" customHeight="1" x14ac:dyDescent="0.4">
      <c r="I67" t="str">
        <v/>
      </c>
    </row>
    <row r="68" spans="9:9" ht="30" hidden="1" customHeight="1" x14ac:dyDescent="0.4">
      <c r="I68" t="str">
        <v/>
      </c>
    </row>
    <row r="69" spans="9:9" ht="30" hidden="1" customHeight="1" x14ac:dyDescent="0.4">
      <c r="I69" t="str">
        <v/>
      </c>
    </row>
    <row r="70" spans="9:9" ht="30" hidden="1" customHeight="1" x14ac:dyDescent="0.4">
      <c r="I70" t="str">
        <v/>
      </c>
    </row>
    <row r="71" spans="9:9" ht="30" hidden="1" customHeight="1" x14ac:dyDescent="0.4">
      <c r="I71" t="str">
        <v/>
      </c>
    </row>
    <row r="72" spans="9:9" ht="30" hidden="1" customHeight="1" x14ac:dyDescent="0.4">
      <c r="I72" t="str">
        <v/>
      </c>
    </row>
    <row r="73" spans="9:9" ht="30" hidden="1" customHeight="1" x14ac:dyDescent="0.4">
      <c r="I73" t="str">
        <v/>
      </c>
    </row>
    <row r="74" spans="9:9" ht="30" hidden="1" customHeight="1" x14ac:dyDescent="0.4">
      <c r="I74" t="str">
        <v/>
      </c>
    </row>
    <row r="75" spans="9:9" ht="30" hidden="1" customHeight="1" x14ac:dyDescent="0.4">
      <c r="I75" t="e">
        <v>#N/A</v>
      </c>
    </row>
    <row r="76" spans="9:9" ht="30" hidden="1" customHeight="1" x14ac:dyDescent="0.4">
      <c r="I76" t="e">
        <v>#N/A</v>
      </c>
    </row>
    <row r="77" spans="9:9" ht="30" hidden="1" customHeight="1" x14ac:dyDescent="0.4"/>
    <row r="78" spans="9:9" ht="30" hidden="1" customHeight="1" x14ac:dyDescent="0.4"/>
  </sheetData>
  <mergeCells count="3">
    <mergeCell ref="A5:G5"/>
    <mergeCell ref="H5:M5"/>
    <mergeCell ref="I30:L53"/>
  </mergeCells>
  <conditionalFormatting sqref="E7:E9 E11:E27">
    <cfRule type="cellIs" dxfId="8" priority="53" operator="greaterThan">
      <formula>SUM(IF(ISNUMBER(J7),I7,0))</formula>
    </cfRule>
  </conditionalFormatting>
  <conditionalFormatting sqref="E7:E27">
    <cfRule type="expression" dxfId="7" priority="50">
      <formula>AND(ISBLANK(D7),ISBLANK(L7))</formula>
    </cfRule>
    <cfRule type="expression" dxfId="6" priority="51">
      <formula>IF(SUM(H7)=0,1,0)</formula>
    </cfRule>
    <cfRule type="cellIs" dxfId="5" priority="52" operator="greaterThan">
      <formula>SUM(H7)</formula>
    </cfRule>
  </conditionalFormatting>
  <conditionalFormatting sqref="E10">
    <cfRule type="cellIs" dxfId="4" priority="65" operator="greaterThan">
      <formula>SUM(IF(ISNUMBER(J10),I10,0))</formula>
    </cfRule>
  </conditionalFormatting>
  <conditionalFormatting sqref="H7:H27">
    <cfRule type="cellIs" dxfId="3" priority="1" operator="lessThan">
      <formula>E7</formula>
    </cfRule>
  </conditionalFormatting>
  <conditionalFormatting sqref="I7:I12 I21:I27">
    <cfRule type="expression" dxfId="2" priority="2">
      <formula>AND(NOT(ISBLANK(I7)),OR(H7="NonStk",I7&gt;H7))</formula>
    </cfRule>
  </conditionalFormatting>
  <conditionalFormatting sqref="I13">
    <cfRule type="expression" dxfId="1" priority="14">
      <formula>AND(I13&gt;0,MOD(I13,K13)&lt;&gt;0)</formula>
    </cfRule>
  </conditionalFormatting>
  <conditionalFormatting sqref="I13:I20">
    <cfRule type="expression" dxfId="0" priority="15">
      <formula>AND(NOT(ISBLANK(I13)),OR(H13="NonStk",I13&gt;H13))</formula>
    </cfRule>
  </conditionalFormatting>
  <hyperlinks>
    <hyperlink ref="M7" r:id="rId1" xr:uid="{00000000-0004-0000-0000-000000000000}"/>
    <hyperlink ref="D8" r:id="rId2" xr:uid="{00000000-0004-0000-0000-000001000000}"/>
    <hyperlink ref="M8" r:id="rId3" xr:uid="{00000000-0004-0000-0000-000002000000}"/>
    <hyperlink ref="D9" r:id="rId4" xr:uid="{00000000-0004-0000-0000-000003000000}"/>
    <hyperlink ref="M9" r:id="rId5" xr:uid="{00000000-0004-0000-0000-000004000000}"/>
    <hyperlink ref="M10" r:id="rId6" xr:uid="{00000000-0004-0000-0000-000005000000}"/>
    <hyperlink ref="D11" r:id="rId7" xr:uid="{00000000-0004-0000-0000-000006000000}"/>
    <hyperlink ref="M11" r:id="rId8" xr:uid="{00000000-0004-0000-0000-000007000000}"/>
    <hyperlink ref="D12" r:id="rId9" xr:uid="{00000000-0004-0000-0000-000008000000}"/>
    <hyperlink ref="M12" r:id="rId10" xr:uid="{00000000-0004-0000-0000-000009000000}"/>
    <hyperlink ref="D13" r:id="rId11" xr:uid="{00000000-0004-0000-0000-00000A000000}"/>
    <hyperlink ref="M13" r:id="rId12" xr:uid="{00000000-0004-0000-0000-00000B000000}"/>
    <hyperlink ref="D14" r:id="rId13" xr:uid="{00000000-0004-0000-0000-00000C000000}"/>
    <hyperlink ref="M14" r:id="rId14" xr:uid="{00000000-0004-0000-0000-00000D000000}"/>
    <hyperlink ref="D15" r:id="rId15" xr:uid="{00000000-0004-0000-0000-00000E000000}"/>
    <hyperlink ref="M15" r:id="rId16" xr:uid="{00000000-0004-0000-0000-00000F000000}"/>
    <hyperlink ref="M16" r:id="rId17" xr:uid="{00000000-0004-0000-0000-000010000000}"/>
    <hyperlink ref="M17" r:id="rId18" xr:uid="{00000000-0004-0000-0000-000011000000}"/>
    <hyperlink ref="M18" r:id="rId19" xr:uid="{00000000-0004-0000-0000-000012000000}"/>
    <hyperlink ref="D19" r:id="rId20" xr:uid="{00000000-0004-0000-0000-000013000000}"/>
    <hyperlink ref="M19" r:id="rId21" xr:uid="{00000000-0004-0000-0000-000014000000}"/>
    <hyperlink ref="D20" r:id="rId22" xr:uid="{00000000-0004-0000-0000-000015000000}"/>
    <hyperlink ref="M20" r:id="rId23" xr:uid="{00000000-0004-0000-0000-000016000000}"/>
    <hyperlink ref="D21" r:id="rId24" xr:uid="{00000000-0004-0000-0000-000019000000}"/>
    <hyperlink ref="M21" r:id="rId25" xr:uid="{00000000-0004-0000-0000-00001A000000}"/>
    <hyperlink ref="D22" r:id="rId26" xr:uid="{00000000-0004-0000-0000-00001C000000}"/>
    <hyperlink ref="M22" r:id="rId27" xr:uid="{00000000-0004-0000-0000-00001D000000}"/>
    <hyperlink ref="D23" r:id="rId28" xr:uid="{00000000-0004-0000-0000-00001E000000}"/>
    <hyperlink ref="M23" r:id="rId29" xr:uid="{00000000-0004-0000-0000-00001F000000}"/>
    <hyperlink ref="D24" r:id="rId30" xr:uid="{00000000-0004-0000-0000-000020000000}"/>
    <hyperlink ref="M24" r:id="rId31" xr:uid="{00000000-0004-0000-0000-000021000000}"/>
    <hyperlink ref="D25" r:id="rId32" xr:uid="{00000000-0004-0000-0000-000022000000}"/>
    <hyperlink ref="M25" r:id="rId33" xr:uid="{00000000-0004-0000-0000-000023000000}"/>
    <hyperlink ref="D26" r:id="rId34" xr:uid="{00000000-0004-0000-0000-000024000000}"/>
    <hyperlink ref="M26" r:id="rId35" xr:uid="{00000000-0004-0000-0000-000025000000}"/>
    <hyperlink ref="D27" r:id="rId36" xr:uid="{00000000-0004-0000-0000-000026000000}"/>
    <hyperlink ref="M27" r:id="rId37" xr:uid="{00000000-0004-0000-0000-000027000000}"/>
    <hyperlink ref="H29" r:id="rId38" xr:uid="{00000000-0004-0000-0000-000028000000}"/>
  </hyperlinks>
  <pageMargins left="0.7" right="0.7" top="0.75" bottom="0.75" header="0.3" footer="0.3"/>
  <legacy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JAARK_PCB_MOTOR</vt:lpstr>
      <vt:lpstr>JAARK_PCB_MOTOR!BoardQty</vt:lpstr>
      <vt:lpstr>JAARK_PCB_MOTOR!PURCHASE_DESCRIPTION</vt:lpstr>
      <vt:lpstr>JAARK_PCB_MOTOR!TotalCost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Jonart BAJRAKTARI</cp:lastModifiedBy>
  <dcterms:created xsi:type="dcterms:W3CDTF">2026-02-15T23:48:51Z</dcterms:created>
  <dcterms:modified xsi:type="dcterms:W3CDTF">2026-02-16T01:54:42Z</dcterms:modified>
</cp:coreProperties>
</file>